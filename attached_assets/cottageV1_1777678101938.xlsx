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webextensions/webextension2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13_ncr:1_{04A14ACE-25D8-4BD7-A899-D3A20538C5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okings" sheetId="3" r:id="rId1"/>
    <sheet name="Control Panel" sheetId="2" r:id="rId2"/>
    <sheet name="Calendar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L17" i="3"/>
  <c r="D3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I315" i="1" s="1"/>
  <c r="J315" i="1" s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I363" i="1" s="1"/>
  <c r="J363" i="1" s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80" i="1"/>
  <c r="D381" i="1"/>
  <c r="D382" i="1"/>
  <c r="D383" i="1"/>
  <c r="D384" i="1"/>
  <c r="I384" i="1" s="1"/>
  <c r="J384" i="1" s="1"/>
  <c r="D385" i="1"/>
  <c r="D386" i="1"/>
  <c r="D387" i="1"/>
  <c r="D388" i="1"/>
  <c r="D389" i="1"/>
  <c r="D390" i="1"/>
  <c r="D391" i="1"/>
  <c r="D392" i="1"/>
  <c r="D393" i="1"/>
  <c r="D394" i="1"/>
  <c r="D395" i="1"/>
  <c r="I395" i="1" s="1"/>
  <c r="J395" i="1" s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2" i="1"/>
  <c r="D413" i="1"/>
  <c r="D414" i="1"/>
  <c r="D415" i="1"/>
  <c r="D416" i="1"/>
  <c r="D417" i="1"/>
  <c r="D418" i="1"/>
  <c r="D419" i="1"/>
  <c r="D420" i="1"/>
  <c r="I420" i="1" s="1"/>
  <c r="J420" i="1" s="1"/>
  <c r="D421" i="1"/>
  <c r="D422" i="1"/>
  <c r="D423" i="1"/>
  <c r="D424" i="1"/>
  <c r="D425" i="1"/>
  <c r="D426" i="1"/>
  <c r="D427" i="1"/>
  <c r="I427" i="1" s="1"/>
  <c r="J427" i="1" s="1"/>
  <c r="D428" i="1"/>
  <c r="D429" i="1"/>
  <c r="D430" i="1"/>
  <c r="D431" i="1"/>
  <c r="D432" i="1"/>
  <c r="D433" i="1"/>
  <c r="D434" i="1"/>
  <c r="D435" i="1"/>
  <c r="D436" i="1"/>
  <c r="D437" i="1"/>
  <c r="D438" i="1"/>
  <c r="D439" i="1"/>
  <c r="I439" i="1" s="1"/>
  <c r="J439" i="1" s="1"/>
  <c r="D441" i="1"/>
  <c r="D442" i="1"/>
  <c r="D443" i="1"/>
  <c r="I443" i="1" s="1"/>
  <c r="J443" i="1" s="1"/>
  <c r="D444" i="1"/>
  <c r="D445" i="1"/>
  <c r="D446" i="1"/>
  <c r="D447" i="1"/>
  <c r="D448" i="1"/>
  <c r="D449" i="1"/>
  <c r="D450" i="1"/>
  <c r="D451" i="1"/>
  <c r="D452" i="1"/>
  <c r="I452" i="1" s="1"/>
  <c r="J452" i="1" s="1"/>
  <c r="D453" i="1"/>
  <c r="D454" i="1"/>
  <c r="D455" i="1"/>
  <c r="D456" i="1"/>
  <c r="D457" i="1"/>
  <c r="I457" i="1" s="1"/>
  <c r="J457" i="1" s="1"/>
  <c r="D458" i="1"/>
  <c r="D459" i="1"/>
  <c r="I459" i="1" s="1"/>
  <c r="J459" i="1" s="1"/>
  <c r="D460" i="1"/>
  <c r="D461" i="1"/>
  <c r="D462" i="1"/>
  <c r="D463" i="1"/>
  <c r="D464" i="1"/>
  <c r="D465" i="1"/>
  <c r="D466" i="1"/>
  <c r="D467" i="1"/>
  <c r="D468" i="1"/>
  <c r="D469" i="1"/>
  <c r="D470" i="1"/>
  <c r="D471" i="1"/>
  <c r="I471" i="1" s="1"/>
  <c r="J471" i="1" s="1"/>
  <c r="D473" i="1"/>
  <c r="D474" i="1"/>
  <c r="D475" i="1"/>
  <c r="I475" i="1" s="1"/>
  <c r="J475" i="1" s="1"/>
  <c r="D476" i="1"/>
  <c r="D477" i="1"/>
  <c r="D478" i="1"/>
  <c r="D479" i="1"/>
  <c r="D480" i="1"/>
  <c r="D481" i="1"/>
  <c r="D482" i="1"/>
  <c r="D483" i="1"/>
  <c r="D484" i="1"/>
  <c r="I484" i="1" s="1"/>
  <c r="J484" i="1" s="1"/>
  <c r="D485" i="1"/>
  <c r="D486" i="1"/>
  <c r="D487" i="1"/>
  <c r="I487" i="1" s="1"/>
  <c r="J487" i="1" s="1"/>
  <c r="D488" i="1"/>
  <c r="D489" i="1"/>
  <c r="D490" i="1"/>
  <c r="D491" i="1"/>
  <c r="I491" i="1" s="1"/>
  <c r="J491" i="1" s="1"/>
  <c r="D492" i="1"/>
  <c r="D493" i="1"/>
  <c r="D494" i="1"/>
  <c r="D495" i="1"/>
  <c r="D496" i="1"/>
  <c r="D497" i="1"/>
  <c r="D498" i="1"/>
  <c r="D499" i="1"/>
  <c r="D500" i="1"/>
  <c r="I500" i="1" s="1"/>
  <c r="J500" i="1" s="1"/>
  <c r="D501" i="1"/>
  <c r="D502" i="1"/>
  <c r="D504" i="1"/>
  <c r="D505" i="1"/>
  <c r="D506" i="1"/>
  <c r="D507" i="1"/>
  <c r="I507" i="1" s="1"/>
  <c r="J507" i="1" s="1"/>
  <c r="D508" i="1"/>
  <c r="D509" i="1"/>
  <c r="D510" i="1"/>
  <c r="D511" i="1"/>
  <c r="D512" i="1"/>
  <c r="D513" i="1"/>
  <c r="D514" i="1"/>
  <c r="D515" i="1"/>
  <c r="D516" i="1"/>
  <c r="D517" i="1"/>
  <c r="D518" i="1"/>
  <c r="D519" i="1"/>
  <c r="I519" i="1" s="1"/>
  <c r="J519" i="1" s="1"/>
  <c r="D520" i="1"/>
  <c r="D521" i="1"/>
  <c r="D522" i="1"/>
  <c r="D523" i="1"/>
  <c r="I523" i="1" s="1"/>
  <c r="J523" i="1" s="1"/>
  <c r="D524" i="1"/>
  <c r="D525" i="1"/>
  <c r="D526" i="1"/>
  <c r="D527" i="1"/>
  <c r="D528" i="1"/>
  <c r="D529" i="1"/>
  <c r="D530" i="1"/>
  <c r="D531" i="1"/>
  <c r="D532" i="1"/>
  <c r="D533" i="1"/>
  <c r="D534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I548" i="1" s="1"/>
  <c r="J548" i="1" s="1"/>
  <c r="D549" i="1"/>
  <c r="D550" i="1"/>
  <c r="D551" i="1"/>
  <c r="I551" i="1" s="1"/>
  <c r="J551" i="1" s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I564" i="1" s="1"/>
  <c r="J564" i="1" s="1"/>
  <c r="D565" i="1"/>
  <c r="D567" i="1"/>
  <c r="I567" i="1" s="1"/>
  <c r="J567" i="1" s="1"/>
  <c r="D568" i="1"/>
  <c r="D569" i="1"/>
  <c r="D570" i="1"/>
  <c r="D571" i="1"/>
  <c r="I571" i="1" s="1"/>
  <c r="J571" i="1" s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I587" i="1" s="1"/>
  <c r="J587" i="1" s="1"/>
  <c r="D588" i="1"/>
  <c r="D589" i="1"/>
  <c r="D590" i="1"/>
  <c r="D591" i="1"/>
  <c r="D592" i="1"/>
  <c r="D593" i="1"/>
  <c r="D594" i="1"/>
  <c r="D595" i="1"/>
  <c r="D596" i="1"/>
  <c r="D597" i="1"/>
  <c r="D599" i="1"/>
  <c r="D600" i="1"/>
  <c r="D601" i="1"/>
  <c r="I601" i="1" s="1"/>
  <c r="J601" i="1" s="1"/>
  <c r="D602" i="1"/>
  <c r="D603" i="1"/>
  <c r="I603" i="1" s="1"/>
  <c r="J603" i="1" s="1"/>
  <c r="D604" i="1"/>
  <c r="D605" i="1"/>
  <c r="D606" i="1"/>
  <c r="D607" i="1"/>
  <c r="D608" i="1"/>
  <c r="D609" i="1"/>
  <c r="D610" i="1"/>
  <c r="D611" i="1"/>
  <c r="I611" i="1" s="1"/>
  <c r="J611" i="1" s="1"/>
  <c r="D612" i="1"/>
  <c r="D613" i="1"/>
  <c r="D614" i="1"/>
  <c r="D615" i="1"/>
  <c r="D616" i="1"/>
  <c r="D617" i="1"/>
  <c r="I617" i="1" s="1"/>
  <c r="J617" i="1" s="1"/>
  <c r="D618" i="1"/>
  <c r="D619" i="1"/>
  <c r="D620" i="1"/>
  <c r="D621" i="1"/>
  <c r="D622" i="1"/>
  <c r="D623" i="1"/>
  <c r="D624" i="1"/>
  <c r="I624" i="1" s="1"/>
  <c r="J624" i="1" s="1"/>
  <c r="D625" i="1"/>
  <c r="D626" i="1"/>
  <c r="D627" i="1"/>
  <c r="D628" i="1"/>
  <c r="D629" i="1"/>
  <c r="D631" i="1"/>
  <c r="I631" i="1" s="1"/>
  <c r="J631" i="1" s="1"/>
  <c r="D632" i="1"/>
  <c r="D633" i="1"/>
  <c r="D634" i="1"/>
  <c r="D635" i="1"/>
  <c r="D636" i="1"/>
  <c r="D637" i="1"/>
  <c r="I637" i="1" s="1"/>
  <c r="J637" i="1" s="1"/>
  <c r="D638" i="1"/>
  <c r="D639" i="1"/>
  <c r="D640" i="1"/>
  <c r="D641" i="1"/>
  <c r="D642" i="1"/>
  <c r="D643" i="1"/>
  <c r="D644" i="1"/>
  <c r="D645" i="1"/>
  <c r="D646" i="1"/>
  <c r="D647" i="1"/>
  <c r="I647" i="1" s="1"/>
  <c r="J647" i="1" s="1"/>
  <c r="D648" i="1"/>
  <c r="D649" i="1"/>
  <c r="D650" i="1"/>
  <c r="D651" i="1"/>
  <c r="I651" i="1" s="1"/>
  <c r="J651" i="1" s="1"/>
  <c r="D652" i="1"/>
  <c r="D653" i="1"/>
  <c r="D654" i="1"/>
  <c r="D655" i="1"/>
  <c r="D656" i="1"/>
  <c r="D657" i="1"/>
  <c r="D658" i="1"/>
  <c r="D659" i="1"/>
  <c r="D660" i="1"/>
  <c r="D662" i="1"/>
  <c r="D663" i="1"/>
  <c r="D664" i="1"/>
  <c r="D665" i="1"/>
  <c r="D666" i="1"/>
  <c r="D667" i="1"/>
  <c r="D668" i="1"/>
  <c r="D669" i="1"/>
  <c r="D670" i="1"/>
  <c r="I670" i="1" s="1"/>
  <c r="J670" i="1" s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I687" i="1" s="1"/>
  <c r="J687" i="1" s="1"/>
  <c r="D688" i="1"/>
  <c r="D689" i="1"/>
  <c r="D690" i="1"/>
  <c r="D691" i="1"/>
  <c r="D692" i="1"/>
  <c r="D694" i="1"/>
  <c r="D695" i="1"/>
  <c r="D696" i="1"/>
  <c r="D697" i="1"/>
  <c r="D698" i="1"/>
  <c r="D699" i="1"/>
  <c r="D700" i="1"/>
  <c r="D701" i="1"/>
  <c r="D702" i="1"/>
  <c r="D703" i="1"/>
  <c r="I703" i="1" s="1"/>
  <c r="J703" i="1" s="1"/>
  <c r="D704" i="1"/>
  <c r="D705" i="1"/>
  <c r="D706" i="1"/>
  <c r="D707" i="1"/>
  <c r="D708" i="1"/>
  <c r="D709" i="1"/>
  <c r="I709" i="1" s="1"/>
  <c r="J709" i="1" s="1"/>
  <c r="D710" i="1"/>
  <c r="D711" i="1"/>
  <c r="D712" i="1"/>
  <c r="D713" i="1"/>
  <c r="D714" i="1"/>
  <c r="D715" i="1"/>
  <c r="D716" i="1"/>
  <c r="D717" i="1"/>
  <c r="I717" i="1" s="1"/>
  <c r="J717" i="1" s="1"/>
  <c r="D718" i="1"/>
  <c r="D719" i="1"/>
  <c r="D720" i="1"/>
  <c r="D721" i="1"/>
  <c r="D722" i="1"/>
  <c r="D723" i="1"/>
  <c r="D725" i="1"/>
  <c r="D726" i="1"/>
  <c r="D727" i="1"/>
  <c r="I727" i="1" s="1"/>
  <c r="J727" i="1" s="1"/>
  <c r="D728" i="1"/>
  <c r="D729" i="1"/>
  <c r="D730" i="1"/>
  <c r="D731" i="1"/>
  <c r="I731" i="1" s="1"/>
  <c r="J731" i="1" s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I747" i="1" s="1"/>
  <c r="J747" i="1" s="1"/>
  <c r="D748" i="1"/>
  <c r="D749" i="1"/>
  <c r="D750" i="1"/>
  <c r="D751" i="1"/>
  <c r="D752" i="1"/>
  <c r="I752" i="1" s="1"/>
  <c r="J752" i="1" s="1"/>
  <c r="D753" i="1"/>
  <c r="D754" i="1"/>
  <c r="D755" i="1"/>
  <c r="I755" i="1" s="1"/>
  <c r="J755" i="1" s="1"/>
  <c r="D35" i="1"/>
  <c r="D36" i="1"/>
  <c r="D37" i="1"/>
  <c r="D38" i="1"/>
  <c r="D39" i="1"/>
  <c r="D40" i="1"/>
  <c r="I40" i="1" s="1"/>
  <c r="J40" i="1" s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I56" i="1" s="1"/>
  <c r="J56" i="1" s="1"/>
  <c r="D57" i="1"/>
  <c r="D58" i="1"/>
  <c r="D59" i="1"/>
  <c r="D60" i="1"/>
  <c r="D61" i="1"/>
  <c r="D62" i="1"/>
  <c r="D64" i="1"/>
  <c r="I64" i="1" s="1"/>
  <c r="J64" i="1" s="1"/>
  <c r="D65" i="1"/>
  <c r="D66" i="1"/>
  <c r="D67" i="1"/>
  <c r="D68" i="1"/>
  <c r="D69" i="1"/>
  <c r="D70" i="1"/>
  <c r="I70" i="1" s="1"/>
  <c r="J70" i="1" s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I86" i="1" s="1"/>
  <c r="J86" i="1" s="1"/>
  <c r="D87" i="1"/>
  <c r="D88" i="1"/>
  <c r="I88" i="1" s="1"/>
  <c r="J88" i="1" s="1"/>
  <c r="D89" i="1"/>
  <c r="D90" i="1"/>
  <c r="D91" i="1"/>
  <c r="D92" i="1"/>
  <c r="D93" i="1"/>
  <c r="D94" i="1"/>
  <c r="I94" i="1" s="1"/>
  <c r="J94" i="1" s="1"/>
  <c r="D96" i="1"/>
  <c r="I96" i="1" s="1"/>
  <c r="J96" i="1" s="1"/>
  <c r="D97" i="1"/>
  <c r="D98" i="1"/>
  <c r="D99" i="1"/>
  <c r="D100" i="1"/>
  <c r="D101" i="1"/>
  <c r="D102" i="1"/>
  <c r="I102" i="1" s="1"/>
  <c r="J102" i="1" s="1"/>
  <c r="D103" i="1"/>
  <c r="D104" i="1"/>
  <c r="I104" i="1" s="1"/>
  <c r="J104" i="1" s="1"/>
  <c r="D105" i="1"/>
  <c r="D106" i="1"/>
  <c r="D107" i="1"/>
  <c r="D108" i="1"/>
  <c r="D109" i="1"/>
  <c r="D110" i="1"/>
  <c r="D111" i="1"/>
  <c r="D112" i="1"/>
  <c r="I112" i="1" s="1"/>
  <c r="J112" i="1" s="1"/>
  <c r="D113" i="1"/>
  <c r="D114" i="1"/>
  <c r="D115" i="1"/>
  <c r="D116" i="1"/>
  <c r="I116" i="1" s="1"/>
  <c r="J116" i="1" s="1"/>
  <c r="D117" i="1"/>
  <c r="D118" i="1"/>
  <c r="I118" i="1" s="1"/>
  <c r="J118" i="1" s="1"/>
  <c r="D119" i="1"/>
  <c r="D120" i="1"/>
  <c r="D121" i="1"/>
  <c r="D122" i="1"/>
  <c r="D123" i="1"/>
  <c r="D124" i="1"/>
  <c r="D125" i="1"/>
  <c r="D127" i="1"/>
  <c r="D128" i="1"/>
  <c r="I128" i="1" s="1"/>
  <c r="J128" i="1" s="1"/>
  <c r="D129" i="1"/>
  <c r="D130" i="1"/>
  <c r="D131" i="1"/>
  <c r="D132" i="1"/>
  <c r="D133" i="1"/>
  <c r="D134" i="1"/>
  <c r="I134" i="1" s="1"/>
  <c r="J134" i="1" s="1"/>
  <c r="D135" i="1"/>
  <c r="D136" i="1"/>
  <c r="I136" i="1" s="1"/>
  <c r="J136" i="1" s="1"/>
  <c r="D137" i="1"/>
  <c r="D138" i="1"/>
  <c r="D139" i="1"/>
  <c r="D140" i="1"/>
  <c r="D141" i="1"/>
  <c r="D142" i="1"/>
  <c r="D143" i="1"/>
  <c r="I143" i="1" s="1"/>
  <c r="J143" i="1" s="1"/>
  <c r="D144" i="1"/>
  <c r="I144" i="1" s="1"/>
  <c r="J144" i="1" s="1"/>
  <c r="D145" i="1"/>
  <c r="D146" i="1"/>
  <c r="D147" i="1"/>
  <c r="I147" i="1" s="1"/>
  <c r="J147" i="1" s="1"/>
  <c r="D148" i="1"/>
  <c r="I148" i="1" s="1"/>
  <c r="J148" i="1" s="1"/>
  <c r="D149" i="1"/>
  <c r="D150" i="1"/>
  <c r="I150" i="1" s="1"/>
  <c r="J150" i="1" s="1"/>
  <c r="D151" i="1"/>
  <c r="D152" i="1"/>
  <c r="I152" i="1" s="1"/>
  <c r="J152" i="1" s="1"/>
  <c r="D153" i="1"/>
  <c r="D154" i="1"/>
  <c r="D155" i="1"/>
  <c r="I155" i="1" s="1"/>
  <c r="J155" i="1" s="1"/>
  <c r="D156" i="1"/>
  <c r="D157" i="1"/>
  <c r="I157" i="1" s="1"/>
  <c r="J157" i="1" s="1"/>
  <c r="D159" i="1"/>
  <c r="D160" i="1"/>
  <c r="I160" i="1" s="1"/>
  <c r="J160" i="1" s="1"/>
  <c r="D161" i="1"/>
  <c r="D162" i="1"/>
  <c r="D163" i="1"/>
  <c r="D164" i="1"/>
  <c r="D165" i="1"/>
  <c r="D166" i="1"/>
  <c r="I166" i="1" s="1"/>
  <c r="J166" i="1" s="1"/>
  <c r="D167" i="1"/>
  <c r="D168" i="1"/>
  <c r="I168" i="1" s="1"/>
  <c r="J168" i="1" s="1"/>
  <c r="D169" i="1"/>
  <c r="D170" i="1"/>
  <c r="D171" i="1"/>
  <c r="D172" i="1"/>
  <c r="D173" i="1"/>
  <c r="D174" i="1"/>
  <c r="D175" i="1"/>
  <c r="D176" i="1"/>
  <c r="D177" i="1"/>
  <c r="D178" i="1"/>
  <c r="D179" i="1"/>
  <c r="D180" i="1"/>
  <c r="I180" i="1" s="1"/>
  <c r="J180" i="1" s="1"/>
  <c r="D181" i="1"/>
  <c r="I181" i="1" s="1"/>
  <c r="J181" i="1" s="1"/>
  <c r="D182" i="1"/>
  <c r="I182" i="1" s="1"/>
  <c r="J182" i="1" s="1"/>
  <c r="D183" i="1"/>
  <c r="D184" i="1"/>
  <c r="I184" i="1" s="1"/>
  <c r="J184" i="1" s="1"/>
  <c r="D185" i="1"/>
  <c r="D186" i="1"/>
  <c r="D187" i="1"/>
  <c r="D18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I26" i="1" s="1"/>
  <c r="J26" i="1" s="1"/>
  <c r="D27" i="1"/>
  <c r="D28" i="1"/>
  <c r="D29" i="1"/>
  <c r="D30" i="1"/>
  <c r="D31" i="1"/>
  <c r="D32" i="1"/>
  <c r="D33" i="1"/>
  <c r="E439" i="1"/>
  <c r="E354" i="1"/>
  <c r="E355" i="1"/>
  <c r="E356" i="1"/>
  <c r="E357" i="1"/>
  <c r="E358" i="1"/>
  <c r="I358" i="1" s="1"/>
  <c r="J358" i="1" s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80" i="1"/>
  <c r="E381" i="1"/>
  <c r="E382" i="1"/>
  <c r="E383" i="1"/>
  <c r="E384" i="1"/>
  <c r="E385" i="1"/>
  <c r="E386" i="1"/>
  <c r="E387" i="1"/>
  <c r="E388" i="1"/>
  <c r="E389" i="1"/>
  <c r="E390" i="1"/>
  <c r="I390" i="1" s="1"/>
  <c r="J390" i="1" s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I438" i="1" s="1"/>
  <c r="J438" i="1" s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I486" i="1" s="1"/>
  <c r="J486" i="1" s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I502" i="1" s="1"/>
  <c r="J502" i="1" s="1"/>
  <c r="E504" i="1"/>
  <c r="E505" i="1"/>
  <c r="E506" i="1"/>
  <c r="I506" i="1" s="1"/>
  <c r="J506" i="1" s="1"/>
  <c r="E507" i="1"/>
  <c r="E508" i="1"/>
  <c r="E509" i="1"/>
  <c r="E510" i="1"/>
  <c r="E511" i="1"/>
  <c r="E512" i="1"/>
  <c r="E513" i="1"/>
  <c r="E514" i="1"/>
  <c r="E515" i="1"/>
  <c r="E516" i="1"/>
  <c r="I516" i="1" s="1"/>
  <c r="J516" i="1" s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I582" i="1" s="1"/>
  <c r="J582" i="1" s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9" i="1"/>
  <c r="E600" i="1"/>
  <c r="E601" i="1"/>
  <c r="E602" i="1"/>
  <c r="E603" i="1"/>
  <c r="E604" i="1"/>
  <c r="E605" i="1"/>
  <c r="E606" i="1"/>
  <c r="I606" i="1" s="1"/>
  <c r="J606" i="1" s="1"/>
  <c r="E607" i="1"/>
  <c r="E608" i="1"/>
  <c r="E609" i="1"/>
  <c r="E610" i="1"/>
  <c r="E611" i="1"/>
  <c r="E612" i="1"/>
  <c r="E613" i="1"/>
  <c r="E614" i="1"/>
  <c r="I614" i="1" s="1"/>
  <c r="J614" i="1" s="1"/>
  <c r="E615" i="1"/>
  <c r="E616" i="1"/>
  <c r="E617" i="1"/>
  <c r="E618" i="1"/>
  <c r="E619" i="1"/>
  <c r="E620" i="1"/>
  <c r="E621" i="1"/>
  <c r="E622" i="1"/>
  <c r="I622" i="1" s="1"/>
  <c r="J622" i="1" s="1"/>
  <c r="E623" i="1"/>
  <c r="E624" i="1"/>
  <c r="E625" i="1"/>
  <c r="E626" i="1"/>
  <c r="E627" i="1"/>
  <c r="E628" i="1"/>
  <c r="E629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I644" i="1" s="1"/>
  <c r="J644" i="1" s="1"/>
  <c r="E645" i="1"/>
  <c r="E646" i="1"/>
  <c r="I646" i="1" s="1"/>
  <c r="J646" i="1" s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I660" i="1" s="1"/>
  <c r="J660" i="1" s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I690" i="1" s="1"/>
  <c r="J690" i="1" s="1"/>
  <c r="E691" i="1"/>
  <c r="E692" i="1"/>
  <c r="E694" i="1"/>
  <c r="I694" i="1" s="1"/>
  <c r="J694" i="1" s="1"/>
  <c r="E695" i="1"/>
  <c r="E696" i="1"/>
  <c r="E697" i="1"/>
  <c r="I697" i="1" s="1"/>
  <c r="J697" i="1" s="1"/>
  <c r="E698" i="1"/>
  <c r="E699" i="1"/>
  <c r="E700" i="1"/>
  <c r="E701" i="1"/>
  <c r="E702" i="1"/>
  <c r="E703" i="1"/>
  <c r="E704" i="1"/>
  <c r="E705" i="1"/>
  <c r="E706" i="1"/>
  <c r="E707" i="1"/>
  <c r="E708" i="1"/>
  <c r="I708" i="1" s="1"/>
  <c r="J708" i="1" s="1"/>
  <c r="E709" i="1"/>
  <c r="E710" i="1"/>
  <c r="I710" i="1" s="1"/>
  <c r="J710" i="1" s="1"/>
  <c r="E711" i="1"/>
  <c r="E712" i="1"/>
  <c r="E713" i="1"/>
  <c r="I713" i="1" s="1"/>
  <c r="J713" i="1" s="1"/>
  <c r="E714" i="1"/>
  <c r="E715" i="1"/>
  <c r="E716" i="1"/>
  <c r="E717" i="1"/>
  <c r="E718" i="1"/>
  <c r="E719" i="1"/>
  <c r="E720" i="1"/>
  <c r="E721" i="1"/>
  <c r="E722" i="1"/>
  <c r="E723" i="1"/>
  <c r="E725" i="1"/>
  <c r="E726" i="1"/>
  <c r="E727" i="1"/>
  <c r="E728" i="1"/>
  <c r="E729" i="1"/>
  <c r="I729" i="1" s="1"/>
  <c r="J729" i="1" s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I743" i="1" s="1"/>
  <c r="J743" i="1" s="1"/>
  <c r="E744" i="1"/>
  <c r="E745" i="1"/>
  <c r="E746" i="1"/>
  <c r="E747" i="1"/>
  <c r="E748" i="1"/>
  <c r="E749" i="1"/>
  <c r="E750" i="1"/>
  <c r="I750" i="1" s="1"/>
  <c r="J750" i="1" s="1"/>
  <c r="E751" i="1"/>
  <c r="E752" i="1"/>
  <c r="E753" i="1"/>
  <c r="E754" i="1"/>
  <c r="E755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I28" i="1" s="1"/>
  <c r="J28" i="1" s="1"/>
  <c r="E29" i="1"/>
  <c r="E30" i="1"/>
  <c r="E31" i="1"/>
  <c r="E32" i="1"/>
  <c r="E33" i="1"/>
  <c r="E35" i="1"/>
  <c r="E36" i="1"/>
  <c r="E37" i="1"/>
  <c r="I37" i="1" s="1"/>
  <c r="J37" i="1" s="1"/>
  <c r="E38" i="1"/>
  <c r="E39" i="1"/>
  <c r="E40" i="1"/>
  <c r="E41" i="1"/>
  <c r="E42" i="1"/>
  <c r="E43" i="1"/>
  <c r="E44" i="1"/>
  <c r="I44" i="1" s="1"/>
  <c r="J44" i="1" s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I60" i="1" s="1"/>
  <c r="J60" i="1" s="1"/>
  <c r="E61" i="1"/>
  <c r="E62" i="1"/>
  <c r="E64" i="1"/>
  <c r="E65" i="1"/>
  <c r="E66" i="1"/>
  <c r="E67" i="1"/>
  <c r="E68" i="1"/>
  <c r="E69" i="1"/>
  <c r="E70" i="1"/>
  <c r="E71" i="1"/>
  <c r="E72" i="1"/>
  <c r="E73" i="1"/>
  <c r="E74" i="1"/>
  <c r="E75" i="1"/>
  <c r="I75" i="1" s="1"/>
  <c r="J75" i="1" s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I90" i="1" s="1"/>
  <c r="J90" i="1" s="1"/>
  <c r="E91" i="1"/>
  <c r="I91" i="1" s="1"/>
  <c r="J91" i="1" s="1"/>
  <c r="E92" i="1"/>
  <c r="I92" i="1" s="1"/>
  <c r="J92" i="1" s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I107" i="1" s="1"/>
  <c r="J107" i="1" s="1"/>
  <c r="E108" i="1"/>
  <c r="I108" i="1" s="1"/>
  <c r="J108" i="1" s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I123" i="1" s="1"/>
  <c r="J123" i="1" s="1"/>
  <c r="E124" i="1"/>
  <c r="I124" i="1" s="1"/>
  <c r="J124" i="1" s="1"/>
  <c r="E125" i="1"/>
  <c r="E127" i="1"/>
  <c r="E128" i="1"/>
  <c r="E129" i="1"/>
  <c r="E130" i="1"/>
  <c r="E131" i="1"/>
  <c r="E132" i="1"/>
  <c r="E133" i="1"/>
  <c r="I133" i="1" s="1"/>
  <c r="J133" i="1" s="1"/>
  <c r="E134" i="1"/>
  <c r="E135" i="1"/>
  <c r="E136" i="1"/>
  <c r="E137" i="1"/>
  <c r="E138" i="1"/>
  <c r="I138" i="1" s="1"/>
  <c r="J138" i="1" s="1"/>
  <c r="E139" i="1"/>
  <c r="I139" i="1" s="1"/>
  <c r="J139" i="1" s="1"/>
  <c r="E140" i="1"/>
  <c r="I140" i="1" s="1"/>
  <c r="J140" i="1" s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I156" i="1" s="1"/>
  <c r="J156" i="1" s="1"/>
  <c r="E157" i="1"/>
  <c r="E159" i="1"/>
  <c r="E160" i="1"/>
  <c r="E161" i="1"/>
  <c r="I161" i="1" s="1"/>
  <c r="J161" i="1" s="1"/>
  <c r="E162" i="1"/>
  <c r="E163" i="1"/>
  <c r="E164" i="1"/>
  <c r="E165" i="1"/>
  <c r="E166" i="1"/>
  <c r="E167" i="1"/>
  <c r="E168" i="1"/>
  <c r="E169" i="1"/>
  <c r="E170" i="1"/>
  <c r="E171" i="1"/>
  <c r="E172" i="1"/>
  <c r="I172" i="1" s="1"/>
  <c r="J172" i="1" s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I188" i="1" s="1"/>
  <c r="J188" i="1" s="1"/>
  <c r="E190" i="1"/>
  <c r="E191" i="1"/>
  <c r="E192" i="1"/>
  <c r="E193" i="1"/>
  <c r="E194" i="1"/>
  <c r="E195" i="1"/>
  <c r="E196" i="1"/>
  <c r="E197" i="1"/>
  <c r="I197" i="1" s="1"/>
  <c r="J197" i="1" s="1"/>
  <c r="E198" i="1"/>
  <c r="E199" i="1"/>
  <c r="E200" i="1"/>
  <c r="E201" i="1"/>
  <c r="E202" i="1"/>
  <c r="I202" i="1" s="1"/>
  <c r="J202" i="1" s="1"/>
  <c r="E203" i="1"/>
  <c r="I203" i="1" s="1"/>
  <c r="J203" i="1" s="1"/>
  <c r="E204" i="1"/>
  <c r="I204" i="1" s="1"/>
  <c r="J204" i="1" s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I219" i="1" s="1"/>
  <c r="J219" i="1" s="1"/>
  <c r="E220" i="1"/>
  <c r="I220" i="1" s="1"/>
  <c r="J220" i="1" s="1"/>
  <c r="E222" i="1"/>
  <c r="E223" i="1"/>
  <c r="I223" i="1" s="1"/>
  <c r="J223" i="1" s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I236" i="1" s="1"/>
  <c r="J236" i="1" s="1"/>
  <c r="E237" i="1"/>
  <c r="E238" i="1"/>
  <c r="I238" i="1" s="1"/>
  <c r="J238" i="1" s="1"/>
  <c r="E239" i="1"/>
  <c r="E240" i="1"/>
  <c r="E241" i="1"/>
  <c r="E242" i="1"/>
  <c r="E243" i="1"/>
  <c r="I243" i="1" s="1"/>
  <c r="J243" i="1" s="1"/>
  <c r="E244" i="1"/>
  <c r="E245" i="1"/>
  <c r="E246" i="1"/>
  <c r="E247" i="1"/>
  <c r="E248" i="1"/>
  <c r="E249" i="1"/>
  <c r="E250" i="1"/>
  <c r="E251" i="1"/>
  <c r="E252" i="1"/>
  <c r="I252" i="1" s="1"/>
  <c r="J252" i="1" s="1"/>
  <c r="E254" i="1"/>
  <c r="E255" i="1"/>
  <c r="E256" i="1"/>
  <c r="E257" i="1"/>
  <c r="E258" i="1"/>
  <c r="E259" i="1"/>
  <c r="E260" i="1"/>
  <c r="E261" i="1"/>
  <c r="E262" i="1"/>
  <c r="E263" i="1"/>
  <c r="E264" i="1"/>
  <c r="I264" i="1" s="1"/>
  <c r="J264" i="1" s="1"/>
  <c r="E265" i="1"/>
  <c r="E266" i="1"/>
  <c r="E267" i="1"/>
  <c r="E268" i="1"/>
  <c r="I268" i="1" s="1"/>
  <c r="J268" i="1" s="1"/>
  <c r="E269" i="1"/>
  <c r="E270" i="1"/>
  <c r="E271" i="1"/>
  <c r="E272" i="1"/>
  <c r="E273" i="1"/>
  <c r="E274" i="1"/>
  <c r="E275" i="1"/>
  <c r="E276" i="1"/>
  <c r="E277" i="1"/>
  <c r="E278" i="1"/>
  <c r="I278" i="1" s="1"/>
  <c r="J278" i="1" s="1"/>
  <c r="E279" i="1"/>
  <c r="E280" i="1"/>
  <c r="E281" i="1"/>
  <c r="E282" i="1"/>
  <c r="I282" i="1" s="1"/>
  <c r="J282" i="1" s="1"/>
  <c r="E283" i="1"/>
  <c r="E285" i="1"/>
  <c r="E286" i="1"/>
  <c r="E287" i="1"/>
  <c r="E288" i="1"/>
  <c r="E289" i="1"/>
  <c r="I289" i="1" s="1"/>
  <c r="J289" i="1" s="1"/>
  <c r="E290" i="1"/>
  <c r="E291" i="1"/>
  <c r="E292" i="1"/>
  <c r="E293" i="1"/>
  <c r="E294" i="1"/>
  <c r="E295" i="1"/>
  <c r="I295" i="1" s="1"/>
  <c r="J295" i="1" s="1"/>
  <c r="E296" i="1"/>
  <c r="E297" i="1"/>
  <c r="E298" i="1"/>
  <c r="E299" i="1"/>
  <c r="E300" i="1"/>
  <c r="I300" i="1" s="1"/>
  <c r="J300" i="1" s="1"/>
  <c r="E301" i="1"/>
  <c r="E302" i="1"/>
  <c r="I302" i="1" s="1"/>
  <c r="J302" i="1" s="1"/>
  <c r="E303" i="1"/>
  <c r="E304" i="1"/>
  <c r="E305" i="1"/>
  <c r="E306" i="1"/>
  <c r="E307" i="1"/>
  <c r="E308" i="1"/>
  <c r="E309" i="1"/>
  <c r="I309" i="1" s="1"/>
  <c r="J309" i="1" s="1"/>
  <c r="E310" i="1"/>
  <c r="E311" i="1"/>
  <c r="E312" i="1"/>
  <c r="E313" i="1"/>
  <c r="E314" i="1"/>
  <c r="E315" i="1"/>
  <c r="E317" i="1"/>
  <c r="E318" i="1"/>
  <c r="E319" i="1"/>
  <c r="E320" i="1"/>
  <c r="I320" i="1" s="1"/>
  <c r="J320" i="1" s="1"/>
  <c r="E321" i="1"/>
  <c r="E322" i="1"/>
  <c r="E323" i="1"/>
  <c r="E324" i="1"/>
  <c r="E325" i="1"/>
  <c r="E326" i="1"/>
  <c r="E327" i="1"/>
  <c r="E328" i="1"/>
  <c r="E329" i="1"/>
  <c r="E330" i="1"/>
  <c r="E331" i="1"/>
  <c r="E332" i="1"/>
  <c r="I332" i="1" s="1"/>
  <c r="J332" i="1" s="1"/>
  <c r="E333" i="1"/>
  <c r="E334" i="1"/>
  <c r="E335" i="1"/>
  <c r="E336" i="1"/>
  <c r="E337" i="1"/>
  <c r="E338" i="1"/>
  <c r="E339" i="1"/>
  <c r="E340" i="1"/>
  <c r="E341" i="1"/>
  <c r="I341" i="1" s="1"/>
  <c r="J341" i="1" s="1"/>
  <c r="E342" i="1"/>
  <c r="I342" i="1" s="1"/>
  <c r="J342" i="1" s="1"/>
  <c r="E343" i="1"/>
  <c r="E344" i="1"/>
  <c r="E345" i="1"/>
  <c r="E346" i="1"/>
  <c r="E348" i="1"/>
  <c r="I348" i="1" s="1"/>
  <c r="J348" i="1" s="1"/>
  <c r="E349" i="1"/>
  <c r="E350" i="1"/>
  <c r="E351" i="1"/>
  <c r="I351" i="1" s="1"/>
  <c r="J351" i="1" s="1"/>
  <c r="E352" i="1"/>
  <c r="E353" i="1"/>
  <c r="I353" i="1" s="1"/>
  <c r="J353" i="1" s="1"/>
  <c r="E4" i="1"/>
  <c r="E5" i="1"/>
  <c r="I5" i="1" s="1"/>
  <c r="J5" i="1" s="1"/>
  <c r="E6" i="1"/>
  <c r="E7" i="1"/>
  <c r="E8" i="1"/>
  <c r="E9" i="1"/>
  <c r="E10" i="1"/>
  <c r="E11" i="1"/>
  <c r="E12" i="1"/>
  <c r="E13" i="1"/>
  <c r="E3" i="1"/>
  <c r="I3" i="1" s="1"/>
  <c r="J3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I50" i="1" s="1"/>
  <c r="J50" i="1" s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I66" i="1" s="1"/>
  <c r="J66" i="1" s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I82" i="1" s="1"/>
  <c r="J82" i="1" s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I98" i="1" s="1"/>
  <c r="J98" i="1" s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I114" i="1" s="1"/>
  <c r="J114" i="1" s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I130" i="1" s="1"/>
  <c r="J130" i="1" s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I146" i="1" s="1"/>
  <c r="J146" i="1" s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I162" i="1" s="1"/>
  <c r="J162" i="1" s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I178" i="1" s="1"/>
  <c r="J178" i="1" s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I193" i="1" s="1"/>
  <c r="J193" i="1" s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I257" i="1" s="1"/>
  <c r="J257" i="1" s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I305" i="1" s="1"/>
  <c r="J305" i="1" s="1"/>
  <c r="G306" i="1"/>
  <c r="G307" i="1"/>
  <c r="G308" i="1"/>
  <c r="G309" i="1"/>
  <c r="G310" i="1"/>
  <c r="G311" i="1"/>
  <c r="G312" i="1"/>
  <c r="G313" i="1"/>
  <c r="G314" i="1"/>
  <c r="I314" i="1" s="1"/>
  <c r="J314" i="1" s="1"/>
  <c r="G315" i="1"/>
  <c r="G316" i="1"/>
  <c r="G317" i="1"/>
  <c r="G318" i="1"/>
  <c r="G319" i="1"/>
  <c r="G320" i="1"/>
  <c r="G321" i="1"/>
  <c r="I321" i="1" s="1"/>
  <c r="J321" i="1" s="1"/>
  <c r="G322" i="1"/>
  <c r="G323" i="1"/>
  <c r="G324" i="1"/>
  <c r="G325" i="1"/>
  <c r="G326" i="1"/>
  <c r="G327" i="1"/>
  <c r="G328" i="1"/>
  <c r="I328" i="1" s="1"/>
  <c r="J328" i="1" s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I344" i="1" s="1"/>
  <c r="J344" i="1" s="1"/>
  <c r="G345" i="1"/>
  <c r="G346" i="1"/>
  <c r="G347" i="1"/>
  <c r="G348" i="1"/>
  <c r="G349" i="1"/>
  <c r="G350" i="1"/>
  <c r="G351" i="1"/>
  <c r="G352" i="1"/>
  <c r="G353" i="1"/>
  <c r="G354" i="1"/>
  <c r="I354" i="1" s="1"/>
  <c r="J354" i="1" s="1"/>
  <c r="G355" i="1"/>
  <c r="G356" i="1"/>
  <c r="G357" i="1"/>
  <c r="G358" i="1"/>
  <c r="G359" i="1"/>
  <c r="G360" i="1"/>
  <c r="I360" i="1" s="1"/>
  <c r="J360" i="1" s="1"/>
  <c r="G361" i="1"/>
  <c r="G362" i="1"/>
  <c r="G363" i="1"/>
  <c r="G364" i="1"/>
  <c r="G365" i="1"/>
  <c r="G366" i="1"/>
  <c r="G367" i="1"/>
  <c r="G368" i="1"/>
  <c r="G369" i="1"/>
  <c r="G370" i="1"/>
  <c r="I370" i="1" s="1"/>
  <c r="J370" i="1" s="1"/>
  <c r="G371" i="1"/>
  <c r="G372" i="1"/>
  <c r="G373" i="1"/>
  <c r="G374" i="1"/>
  <c r="G375" i="1"/>
  <c r="G376" i="1"/>
  <c r="G377" i="1"/>
  <c r="G378" i="1"/>
  <c r="I378" i="1" s="1"/>
  <c r="J378" i="1" s="1"/>
  <c r="G379" i="1"/>
  <c r="G380" i="1"/>
  <c r="G381" i="1"/>
  <c r="G382" i="1"/>
  <c r="G383" i="1"/>
  <c r="G384" i="1"/>
  <c r="G385" i="1"/>
  <c r="G386" i="1"/>
  <c r="I386" i="1" s="1"/>
  <c r="J386" i="1" s="1"/>
  <c r="G387" i="1"/>
  <c r="G388" i="1"/>
  <c r="G389" i="1"/>
  <c r="G390" i="1"/>
  <c r="G391" i="1"/>
  <c r="G392" i="1"/>
  <c r="I392" i="1" s="1"/>
  <c r="J392" i="1" s="1"/>
  <c r="G393" i="1"/>
  <c r="G394" i="1"/>
  <c r="G395" i="1"/>
  <c r="G396" i="1"/>
  <c r="G397" i="1"/>
  <c r="G398" i="1"/>
  <c r="G399" i="1"/>
  <c r="G400" i="1"/>
  <c r="G401" i="1"/>
  <c r="G402" i="1"/>
  <c r="I402" i="1" s="1"/>
  <c r="J402" i="1" s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I434" i="1" s="1"/>
  <c r="J434" i="1" s="1"/>
  <c r="G435" i="1"/>
  <c r="G436" i="1"/>
  <c r="G437" i="1"/>
  <c r="G438" i="1"/>
  <c r="G439" i="1"/>
  <c r="G440" i="1"/>
  <c r="G441" i="1"/>
  <c r="G442" i="1"/>
  <c r="I442" i="1" s="1"/>
  <c r="J442" i="1" s="1"/>
  <c r="G443" i="1"/>
  <c r="G444" i="1"/>
  <c r="G445" i="1"/>
  <c r="G446" i="1"/>
  <c r="G447" i="1"/>
  <c r="G448" i="1"/>
  <c r="G449" i="1"/>
  <c r="G450" i="1"/>
  <c r="I450" i="1" s="1"/>
  <c r="J450" i="1" s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I466" i="1" s="1"/>
  <c r="J466" i="1" s="1"/>
  <c r="G467" i="1"/>
  <c r="G468" i="1"/>
  <c r="G469" i="1"/>
  <c r="G470" i="1"/>
  <c r="G471" i="1"/>
  <c r="G472" i="1"/>
  <c r="G473" i="1"/>
  <c r="G474" i="1"/>
  <c r="I474" i="1" s="1"/>
  <c r="J474" i="1" s="1"/>
  <c r="G475" i="1"/>
  <c r="G476" i="1"/>
  <c r="G477" i="1"/>
  <c r="G478" i="1"/>
  <c r="G479" i="1"/>
  <c r="G480" i="1"/>
  <c r="G481" i="1"/>
  <c r="G482" i="1"/>
  <c r="I482" i="1" s="1"/>
  <c r="J482" i="1" s="1"/>
  <c r="G483" i="1"/>
  <c r="G484" i="1"/>
  <c r="G485" i="1"/>
  <c r="G486" i="1"/>
  <c r="G487" i="1"/>
  <c r="G488" i="1"/>
  <c r="G489" i="1"/>
  <c r="G490" i="1"/>
  <c r="I490" i="1" s="1"/>
  <c r="J490" i="1" s="1"/>
  <c r="G491" i="1"/>
  <c r="G492" i="1"/>
  <c r="G493" i="1"/>
  <c r="G494" i="1"/>
  <c r="G495" i="1"/>
  <c r="G496" i="1"/>
  <c r="G497" i="1"/>
  <c r="G498" i="1"/>
  <c r="I498" i="1" s="1"/>
  <c r="J498" i="1" s="1"/>
  <c r="G499" i="1"/>
  <c r="G500" i="1"/>
  <c r="G501" i="1"/>
  <c r="G502" i="1"/>
  <c r="G503" i="1"/>
  <c r="G504" i="1"/>
  <c r="I504" i="1" s="1"/>
  <c r="J504" i="1" s="1"/>
  <c r="G505" i="1"/>
  <c r="G506" i="1"/>
  <c r="G507" i="1"/>
  <c r="G508" i="1"/>
  <c r="G509" i="1"/>
  <c r="G510" i="1"/>
  <c r="G511" i="1"/>
  <c r="G512" i="1"/>
  <c r="G513" i="1"/>
  <c r="G514" i="1"/>
  <c r="I514" i="1" s="1"/>
  <c r="J514" i="1" s="1"/>
  <c r="G515" i="1"/>
  <c r="G516" i="1"/>
  <c r="G517" i="1"/>
  <c r="G518" i="1"/>
  <c r="G519" i="1"/>
  <c r="G520" i="1"/>
  <c r="G521" i="1"/>
  <c r="G522" i="1"/>
  <c r="G523" i="1"/>
  <c r="G524" i="1"/>
  <c r="G525" i="1"/>
  <c r="G526" i="1"/>
  <c r="I526" i="1" s="1"/>
  <c r="J526" i="1" s="1"/>
  <c r="G527" i="1"/>
  <c r="G528" i="1"/>
  <c r="G529" i="1"/>
  <c r="G530" i="1"/>
  <c r="I530" i="1" s="1"/>
  <c r="J530" i="1" s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I545" i="1" s="1"/>
  <c r="J545" i="1" s="1"/>
  <c r="G546" i="1"/>
  <c r="I546" i="1" s="1"/>
  <c r="J546" i="1" s="1"/>
  <c r="G547" i="1"/>
  <c r="G548" i="1"/>
  <c r="G549" i="1"/>
  <c r="G550" i="1"/>
  <c r="G551" i="1"/>
  <c r="G552" i="1"/>
  <c r="I552" i="1" s="1"/>
  <c r="J552" i="1" s="1"/>
  <c r="G553" i="1"/>
  <c r="G554" i="1"/>
  <c r="G555" i="1"/>
  <c r="G556" i="1"/>
  <c r="G557" i="1"/>
  <c r="G558" i="1"/>
  <c r="G559" i="1"/>
  <c r="G560" i="1"/>
  <c r="G561" i="1"/>
  <c r="I561" i="1" s="1"/>
  <c r="J561" i="1" s="1"/>
  <c r="G562" i="1"/>
  <c r="I562" i="1" s="1"/>
  <c r="J562" i="1" s="1"/>
  <c r="G563" i="1"/>
  <c r="G564" i="1"/>
  <c r="G565" i="1"/>
  <c r="G566" i="1"/>
  <c r="G567" i="1"/>
  <c r="G568" i="1"/>
  <c r="I568" i="1" s="1"/>
  <c r="J568" i="1" s="1"/>
  <c r="G569" i="1"/>
  <c r="G570" i="1"/>
  <c r="G571" i="1"/>
  <c r="G572" i="1"/>
  <c r="G573" i="1"/>
  <c r="G574" i="1"/>
  <c r="G575" i="1"/>
  <c r="G576" i="1"/>
  <c r="I576" i="1" s="1"/>
  <c r="J576" i="1" s="1"/>
  <c r="G577" i="1"/>
  <c r="G578" i="1"/>
  <c r="I578" i="1" s="1"/>
  <c r="J578" i="1" s="1"/>
  <c r="G579" i="1"/>
  <c r="G580" i="1"/>
  <c r="G581" i="1"/>
  <c r="G582" i="1"/>
  <c r="G583" i="1"/>
  <c r="G584" i="1"/>
  <c r="I584" i="1" s="1"/>
  <c r="J584" i="1" s="1"/>
  <c r="G585" i="1"/>
  <c r="G586" i="1"/>
  <c r="G587" i="1"/>
  <c r="G588" i="1"/>
  <c r="G589" i="1"/>
  <c r="G590" i="1"/>
  <c r="G591" i="1"/>
  <c r="G592" i="1"/>
  <c r="G593" i="1"/>
  <c r="I593" i="1" s="1"/>
  <c r="J593" i="1" s="1"/>
  <c r="G594" i="1"/>
  <c r="I594" i="1" s="1"/>
  <c r="J594" i="1" s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I608" i="1" s="1"/>
  <c r="J608" i="1" s="1"/>
  <c r="G609" i="1"/>
  <c r="I609" i="1" s="1"/>
  <c r="J609" i="1" s="1"/>
  <c r="G610" i="1"/>
  <c r="I610" i="1" s="1"/>
  <c r="J610" i="1" s="1"/>
  <c r="G611" i="1"/>
  <c r="G612" i="1"/>
  <c r="G613" i="1"/>
  <c r="I613" i="1" s="1"/>
  <c r="J613" i="1" s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I629" i="1" s="1"/>
  <c r="J629" i="1" s="1"/>
  <c r="G630" i="1"/>
  <c r="G631" i="1"/>
  <c r="G632" i="1"/>
  <c r="I632" i="1" s="1"/>
  <c r="J632" i="1" s="1"/>
  <c r="G633" i="1"/>
  <c r="G634" i="1"/>
  <c r="G635" i="1"/>
  <c r="G636" i="1"/>
  <c r="G637" i="1"/>
  <c r="G638" i="1"/>
  <c r="G639" i="1"/>
  <c r="G640" i="1"/>
  <c r="G641" i="1"/>
  <c r="I641" i="1" s="1"/>
  <c r="J641" i="1" s="1"/>
  <c r="G642" i="1"/>
  <c r="G643" i="1"/>
  <c r="G644" i="1"/>
  <c r="G645" i="1"/>
  <c r="G646" i="1"/>
  <c r="G647" i="1"/>
  <c r="G648" i="1"/>
  <c r="I648" i="1" s="1"/>
  <c r="J648" i="1" s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I664" i="1" s="1"/>
  <c r="J664" i="1" s="1"/>
  <c r="G665" i="1"/>
  <c r="G666" i="1"/>
  <c r="G667" i="1"/>
  <c r="G668" i="1"/>
  <c r="G669" i="1"/>
  <c r="G670" i="1"/>
  <c r="G671" i="1"/>
  <c r="I671" i="1" s="1"/>
  <c r="J671" i="1" s="1"/>
  <c r="G672" i="1"/>
  <c r="I672" i="1" s="1"/>
  <c r="J672" i="1" s="1"/>
  <c r="G673" i="1"/>
  <c r="I673" i="1" s="1"/>
  <c r="J673" i="1" s="1"/>
  <c r="G674" i="1"/>
  <c r="G675" i="1"/>
  <c r="G676" i="1"/>
  <c r="G677" i="1"/>
  <c r="I677" i="1" s="1"/>
  <c r="J677" i="1" s="1"/>
  <c r="G678" i="1"/>
  <c r="G679" i="1"/>
  <c r="G680" i="1"/>
  <c r="I680" i="1" s="1"/>
  <c r="J680" i="1" s="1"/>
  <c r="G681" i="1"/>
  <c r="G682" i="1"/>
  <c r="G683" i="1"/>
  <c r="G684" i="1"/>
  <c r="G685" i="1"/>
  <c r="G686" i="1"/>
  <c r="G687" i="1"/>
  <c r="G688" i="1"/>
  <c r="I688" i="1" s="1"/>
  <c r="J688" i="1" s="1"/>
  <c r="G689" i="1"/>
  <c r="I689" i="1" s="1"/>
  <c r="J689" i="1" s="1"/>
  <c r="G690" i="1"/>
  <c r="G691" i="1"/>
  <c r="G692" i="1"/>
  <c r="G693" i="1"/>
  <c r="G694" i="1"/>
  <c r="G695" i="1"/>
  <c r="G696" i="1"/>
  <c r="I696" i="1" s="1"/>
  <c r="J696" i="1" s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I712" i="1" s="1"/>
  <c r="J712" i="1" s="1"/>
  <c r="G713" i="1"/>
  <c r="G714" i="1"/>
  <c r="G715" i="1"/>
  <c r="G716" i="1"/>
  <c r="G717" i="1"/>
  <c r="G718" i="1"/>
  <c r="G719" i="1"/>
  <c r="G720" i="1"/>
  <c r="I720" i="1" s="1"/>
  <c r="J720" i="1" s="1"/>
  <c r="G721" i="1"/>
  <c r="I721" i="1" s="1"/>
  <c r="J721" i="1" s="1"/>
  <c r="G722" i="1"/>
  <c r="G723" i="1"/>
  <c r="G724" i="1"/>
  <c r="G725" i="1"/>
  <c r="I725" i="1" s="1"/>
  <c r="J725" i="1" s="1"/>
  <c r="G726" i="1"/>
  <c r="G727" i="1"/>
  <c r="G728" i="1"/>
  <c r="G729" i="1"/>
  <c r="G730" i="1"/>
  <c r="G731" i="1"/>
  <c r="G732" i="1"/>
  <c r="G733" i="1"/>
  <c r="G734" i="1"/>
  <c r="G735" i="1"/>
  <c r="G736" i="1"/>
  <c r="I736" i="1" s="1"/>
  <c r="J736" i="1" s="1"/>
  <c r="G737" i="1"/>
  <c r="I737" i="1" s="1"/>
  <c r="J737" i="1" s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I11" i="1"/>
  <c r="J11" i="1" s="1"/>
  <c r="I27" i="1"/>
  <c r="J27" i="1" s="1"/>
  <c r="I43" i="1"/>
  <c r="J43" i="1" s="1"/>
  <c r="I55" i="1"/>
  <c r="J55" i="1" s="1"/>
  <c r="I59" i="1"/>
  <c r="J59" i="1" s="1"/>
  <c r="I121" i="1"/>
  <c r="J121" i="1" s="1"/>
  <c r="I129" i="1"/>
  <c r="J129" i="1" s="1"/>
  <c r="I145" i="1"/>
  <c r="J145" i="1" s="1"/>
  <c r="I169" i="1"/>
  <c r="J169" i="1" s="1"/>
  <c r="I185" i="1"/>
  <c r="J185" i="1" s="1"/>
  <c r="I217" i="1"/>
  <c r="J217" i="1" s="1"/>
  <c r="I225" i="1"/>
  <c r="J225" i="1" s="1"/>
  <c r="I329" i="1"/>
  <c r="J329" i="1" s="1"/>
  <c r="I364" i="1"/>
  <c r="J364" i="1" s="1"/>
  <c r="I369" i="1"/>
  <c r="J369" i="1" s="1"/>
  <c r="I377" i="1"/>
  <c r="J377" i="1" s="1"/>
  <c r="I380" i="1"/>
  <c r="J380" i="1" s="1"/>
  <c r="I385" i="1"/>
  <c r="J385" i="1" s="1"/>
  <c r="I389" i="1"/>
  <c r="J389" i="1" s="1"/>
  <c r="I393" i="1"/>
  <c r="J393" i="1" s="1"/>
  <c r="I396" i="1"/>
  <c r="J396" i="1" s="1"/>
  <c r="I409" i="1"/>
  <c r="J409" i="1" s="1"/>
  <c r="I412" i="1"/>
  <c r="J412" i="1" s="1"/>
  <c r="I417" i="1"/>
  <c r="J417" i="1" s="1"/>
  <c r="I425" i="1"/>
  <c r="J425" i="1" s="1"/>
  <c r="I428" i="1"/>
  <c r="J428" i="1" s="1"/>
  <c r="I430" i="1"/>
  <c r="J430" i="1" s="1"/>
  <c r="I433" i="1"/>
  <c r="J433" i="1" s="1"/>
  <c r="I449" i="1"/>
  <c r="J449" i="1" s="1"/>
  <c r="I455" i="1"/>
  <c r="J455" i="1" s="1"/>
  <c r="I460" i="1"/>
  <c r="J460" i="1" s="1"/>
  <c r="I476" i="1"/>
  <c r="J476" i="1" s="1"/>
  <c r="I480" i="1"/>
  <c r="J480" i="1" s="1"/>
  <c r="I481" i="1"/>
  <c r="J481" i="1" s="1"/>
  <c r="I492" i="1"/>
  <c r="J492" i="1" s="1"/>
  <c r="I494" i="1"/>
  <c r="J494" i="1" s="1"/>
  <c r="I501" i="1"/>
  <c r="J501" i="1" s="1"/>
  <c r="I508" i="1"/>
  <c r="J508" i="1" s="1"/>
  <c r="I513" i="1"/>
  <c r="J513" i="1" s="1"/>
  <c r="I517" i="1"/>
  <c r="J517" i="1" s="1"/>
  <c r="I524" i="1"/>
  <c r="J524" i="1" s="1"/>
  <c r="I529" i="1"/>
  <c r="J529" i="1" s="1"/>
  <c r="I533" i="1"/>
  <c r="J533" i="1" s="1"/>
  <c r="I537" i="1"/>
  <c r="J537" i="1" s="1"/>
  <c r="I540" i="1"/>
  <c r="J540" i="1" s="1"/>
  <c r="I556" i="1"/>
  <c r="J556" i="1" s="1"/>
  <c r="I572" i="1"/>
  <c r="J572" i="1" s="1"/>
  <c r="I577" i="1"/>
  <c r="J577" i="1" s="1"/>
  <c r="I588" i="1"/>
  <c r="J588" i="1" s="1"/>
  <c r="I604" i="1"/>
  <c r="J604" i="1" s="1"/>
  <c r="I615" i="1"/>
  <c r="J615" i="1" s="1"/>
  <c r="I620" i="1"/>
  <c r="J620" i="1" s="1"/>
  <c r="I621" i="1"/>
  <c r="J621" i="1" s="1"/>
  <c r="I625" i="1"/>
  <c r="J625" i="1" s="1"/>
  <c r="I636" i="1"/>
  <c r="J636" i="1" s="1"/>
  <c r="I652" i="1"/>
  <c r="J652" i="1" s="1"/>
  <c r="I657" i="1"/>
  <c r="J657" i="1" s="1"/>
  <c r="I679" i="1"/>
  <c r="J679" i="1" s="1"/>
  <c r="I681" i="1"/>
  <c r="J681" i="1" s="1"/>
  <c r="I684" i="1"/>
  <c r="J684" i="1" s="1"/>
  <c r="I704" i="1"/>
  <c r="J704" i="1" s="1"/>
  <c r="I705" i="1"/>
  <c r="J705" i="1" s="1"/>
  <c r="I715" i="1"/>
  <c r="J715" i="1" s="1"/>
  <c r="I716" i="1"/>
  <c r="J716" i="1" s="1"/>
  <c r="I732" i="1"/>
  <c r="J732" i="1" s="1"/>
  <c r="I748" i="1"/>
  <c r="J748" i="1" s="1"/>
  <c r="I48" i="1"/>
  <c r="J48" i="1" s="1"/>
  <c r="I137" i="1"/>
  <c r="J137" i="1" s="1"/>
  <c r="I153" i="1"/>
  <c r="J153" i="1" s="1"/>
  <c r="I194" i="1"/>
  <c r="J194" i="1" s="1"/>
  <c r="I201" i="1"/>
  <c r="J201" i="1" s="1"/>
  <c r="I256" i="1"/>
  <c r="J256" i="1" s="1"/>
  <c r="I272" i="1"/>
  <c r="J272" i="1" s="1"/>
  <c r="I285" i="1"/>
  <c r="J285" i="1" s="1"/>
  <c r="I286" i="1"/>
  <c r="J286" i="1" s="1"/>
  <c r="I288" i="1"/>
  <c r="J288" i="1" s="1"/>
  <c r="I301" i="1"/>
  <c r="J301" i="1" s="1"/>
  <c r="I304" i="1"/>
  <c r="J304" i="1" s="1"/>
  <c r="I317" i="1"/>
  <c r="J317" i="1" s="1"/>
  <c r="I318" i="1"/>
  <c r="J318" i="1" s="1"/>
  <c r="I333" i="1"/>
  <c r="J333" i="1" s="1"/>
  <c r="I334" i="1"/>
  <c r="J334" i="1" s="1"/>
  <c r="I336" i="1"/>
  <c r="J336" i="1" s="1"/>
  <c r="I345" i="1"/>
  <c r="J345" i="1" s="1"/>
  <c r="I350" i="1"/>
  <c r="J350" i="1" s="1"/>
  <c r="I352" i="1"/>
  <c r="J352" i="1" s="1"/>
  <c r="I362" i="1"/>
  <c r="J362" i="1" s="1"/>
  <c r="I366" i="1"/>
  <c r="J366" i="1" s="1"/>
  <c r="I368" i="1"/>
  <c r="J368" i="1" s="1"/>
  <c r="I400" i="1"/>
  <c r="J400" i="1" s="1"/>
  <c r="I401" i="1"/>
  <c r="J401" i="1" s="1"/>
  <c r="I416" i="1"/>
  <c r="J416" i="1" s="1"/>
  <c r="I418" i="1"/>
  <c r="J418" i="1" s="1"/>
  <c r="I429" i="1"/>
  <c r="J429" i="1" s="1"/>
  <c r="I432" i="1"/>
  <c r="J432" i="1" s="1"/>
  <c r="I445" i="1"/>
  <c r="J445" i="1" s="1"/>
  <c r="I458" i="1"/>
  <c r="J458" i="1" s="1"/>
  <c r="I461" i="1"/>
  <c r="J461" i="1" s="1"/>
  <c r="I465" i="1"/>
  <c r="J465" i="1" s="1"/>
  <c r="I478" i="1"/>
  <c r="J478" i="1" s="1"/>
  <c r="I541" i="1"/>
  <c r="J541" i="1" s="1"/>
  <c r="I542" i="1"/>
  <c r="J542" i="1" s="1"/>
  <c r="I544" i="1"/>
  <c r="J544" i="1" s="1"/>
  <c r="I553" i="1"/>
  <c r="J553" i="1" s="1"/>
  <c r="I557" i="1"/>
  <c r="J557" i="1" s="1"/>
  <c r="I560" i="1"/>
  <c r="J560" i="1" s="1"/>
  <c r="I590" i="1"/>
  <c r="J590" i="1" s="1"/>
  <c r="I597" i="1"/>
  <c r="J597" i="1" s="1"/>
  <c r="I600" i="1"/>
  <c r="J600" i="1" s="1"/>
  <c r="I616" i="1"/>
  <c r="J616" i="1" s="1"/>
  <c r="I626" i="1"/>
  <c r="J626" i="1" s="1"/>
  <c r="I640" i="1"/>
  <c r="J640" i="1" s="1"/>
  <c r="I656" i="1"/>
  <c r="J656" i="1" s="1"/>
  <c r="I665" i="1"/>
  <c r="J665" i="1" s="1"/>
  <c r="I669" i="1"/>
  <c r="J669" i="1" s="1"/>
  <c r="I685" i="1"/>
  <c r="J685" i="1" s="1"/>
  <c r="I686" i="1"/>
  <c r="J686" i="1" s="1"/>
  <c r="I701" i="1"/>
  <c r="J701" i="1" s="1"/>
  <c r="I733" i="1"/>
  <c r="J733" i="1" s="1"/>
  <c r="I749" i="1"/>
  <c r="J749" i="1" s="1"/>
  <c r="I7" i="1"/>
  <c r="J7" i="1" s="1"/>
  <c r="I8" i="1"/>
  <c r="J8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9" i="1"/>
  <c r="J29" i="1" s="1"/>
  <c r="I30" i="1"/>
  <c r="J30" i="1" s="1"/>
  <c r="I31" i="1"/>
  <c r="J31" i="1" s="1"/>
  <c r="I32" i="1"/>
  <c r="J32" i="1" s="1"/>
  <c r="I33" i="1"/>
  <c r="J33" i="1" s="1"/>
  <c r="I35" i="1"/>
  <c r="J35" i="1" s="1"/>
  <c r="I36" i="1"/>
  <c r="J36" i="1" s="1"/>
  <c r="I38" i="1"/>
  <c r="J38" i="1" s="1"/>
  <c r="I39" i="1"/>
  <c r="J39" i="1" s="1"/>
  <c r="I41" i="1"/>
  <c r="J41" i="1" s="1"/>
  <c r="I42" i="1"/>
  <c r="J42" i="1" s="1"/>
  <c r="I45" i="1"/>
  <c r="J45" i="1" s="1"/>
  <c r="I46" i="1"/>
  <c r="J46" i="1" s="1"/>
  <c r="I47" i="1"/>
  <c r="J47" i="1" s="1"/>
  <c r="I49" i="1"/>
  <c r="J49" i="1" s="1"/>
  <c r="I51" i="1"/>
  <c r="J51" i="1" s="1"/>
  <c r="I52" i="1"/>
  <c r="J52" i="1" s="1"/>
  <c r="I53" i="1"/>
  <c r="J53" i="1" s="1"/>
  <c r="I54" i="1"/>
  <c r="J54" i="1" s="1"/>
  <c r="I57" i="1"/>
  <c r="J57" i="1" s="1"/>
  <c r="I58" i="1"/>
  <c r="J58" i="1" s="1"/>
  <c r="I61" i="1"/>
  <c r="J61" i="1" s="1"/>
  <c r="I62" i="1"/>
  <c r="J62" i="1" s="1"/>
  <c r="I65" i="1"/>
  <c r="J65" i="1" s="1"/>
  <c r="I67" i="1"/>
  <c r="J67" i="1" s="1"/>
  <c r="I68" i="1"/>
  <c r="J68" i="1" s="1"/>
  <c r="I69" i="1"/>
  <c r="J69" i="1" s="1"/>
  <c r="I71" i="1"/>
  <c r="J71" i="1" s="1"/>
  <c r="I72" i="1"/>
  <c r="J72" i="1" s="1"/>
  <c r="I73" i="1"/>
  <c r="J73" i="1" s="1"/>
  <c r="I74" i="1"/>
  <c r="J74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3" i="1"/>
  <c r="J83" i="1" s="1"/>
  <c r="I84" i="1"/>
  <c r="J84" i="1" s="1"/>
  <c r="I85" i="1"/>
  <c r="J85" i="1" s="1"/>
  <c r="I87" i="1"/>
  <c r="J87" i="1" s="1"/>
  <c r="I89" i="1"/>
  <c r="J89" i="1" s="1"/>
  <c r="I93" i="1"/>
  <c r="J93" i="1" s="1"/>
  <c r="I97" i="1"/>
  <c r="J97" i="1" s="1"/>
  <c r="I99" i="1"/>
  <c r="J99" i="1" s="1"/>
  <c r="I100" i="1"/>
  <c r="J100" i="1" s="1"/>
  <c r="I101" i="1"/>
  <c r="J101" i="1" s="1"/>
  <c r="I103" i="1"/>
  <c r="J103" i="1" s="1"/>
  <c r="I105" i="1"/>
  <c r="J105" i="1" s="1"/>
  <c r="I106" i="1"/>
  <c r="J106" i="1" s="1"/>
  <c r="I109" i="1"/>
  <c r="J109" i="1" s="1"/>
  <c r="I110" i="1"/>
  <c r="J110" i="1" s="1"/>
  <c r="I111" i="1"/>
  <c r="J111" i="1" s="1"/>
  <c r="I113" i="1"/>
  <c r="J113" i="1" s="1"/>
  <c r="I115" i="1"/>
  <c r="J115" i="1" s="1"/>
  <c r="I117" i="1"/>
  <c r="J117" i="1" s="1"/>
  <c r="I119" i="1"/>
  <c r="J119" i="1" s="1"/>
  <c r="I120" i="1"/>
  <c r="J120" i="1" s="1"/>
  <c r="I122" i="1"/>
  <c r="J122" i="1" s="1"/>
  <c r="I125" i="1"/>
  <c r="J125" i="1" s="1"/>
  <c r="I127" i="1"/>
  <c r="J127" i="1" s="1"/>
  <c r="I131" i="1"/>
  <c r="J131" i="1" s="1"/>
  <c r="I132" i="1"/>
  <c r="J132" i="1" s="1"/>
  <c r="I135" i="1"/>
  <c r="J135" i="1" s="1"/>
  <c r="I141" i="1"/>
  <c r="J141" i="1" s="1"/>
  <c r="I142" i="1"/>
  <c r="J142" i="1" s="1"/>
  <c r="I149" i="1"/>
  <c r="J149" i="1" s="1"/>
  <c r="I151" i="1"/>
  <c r="J151" i="1" s="1"/>
  <c r="I154" i="1"/>
  <c r="J154" i="1" s="1"/>
  <c r="I159" i="1"/>
  <c r="J159" i="1" s="1"/>
  <c r="I163" i="1"/>
  <c r="J163" i="1" s="1"/>
  <c r="I164" i="1"/>
  <c r="J164" i="1" s="1"/>
  <c r="I165" i="1"/>
  <c r="J165" i="1" s="1"/>
  <c r="I167" i="1"/>
  <c r="J167" i="1" s="1"/>
  <c r="I170" i="1"/>
  <c r="J170" i="1" s="1"/>
  <c r="I173" i="1"/>
  <c r="J173" i="1" s="1"/>
  <c r="I174" i="1"/>
  <c r="J174" i="1" s="1"/>
  <c r="I175" i="1"/>
  <c r="J175" i="1" s="1"/>
  <c r="I176" i="1"/>
  <c r="J176" i="1" s="1"/>
  <c r="I177" i="1"/>
  <c r="J177" i="1" s="1"/>
  <c r="I179" i="1"/>
  <c r="J179" i="1" s="1"/>
  <c r="I183" i="1"/>
  <c r="J183" i="1" s="1"/>
  <c r="I186" i="1"/>
  <c r="J186" i="1" s="1"/>
  <c r="I190" i="1"/>
  <c r="J190" i="1" s="1"/>
  <c r="I191" i="1"/>
  <c r="J191" i="1" s="1"/>
  <c r="I192" i="1"/>
  <c r="J192" i="1" s="1"/>
  <c r="I195" i="1"/>
  <c r="J195" i="1" s="1"/>
  <c r="I196" i="1"/>
  <c r="J196" i="1" s="1"/>
  <c r="I198" i="1"/>
  <c r="J198" i="1" s="1"/>
  <c r="I199" i="1"/>
  <c r="J199" i="1" s="1"/>
  <c r="I200" i="1"/>
  <c r="J200" i="1" s="1"/>
  <c r="I205" i="1"/>
  <c r="J205" i="1" s="1"/>
  <c r="I206" i="1"/>
  <c r="J206" i="1" s="1"/>
  <c r="I207" i="1"/>
  <c r="J207" i="1" s="1"/>
  <c r="I208" i="1"/>
  <c r="J208" i="1" s="1"/>
  <c r="I209" i="1"/>
  <c r="J209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8" i="1"/>
  <c r="J218" i="1" s="1"/>
  <c r="I222" i="1"/>
  <c r="J222" i="1" s="1"/>
  <c r="I224" i="1"/>
  <c r="J224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7" i="1"/>
  <c r="J237" i="1" s="1"/>
  <c r="I239" i="1"/>
  <c r="J239" i="1" s="1"/>
  <c r="I240" i="1"/>
  <c r="J240" i="1" s="1"/>
  <c r="I241" i="1"/>
  <c r="J241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4" i="1"/>
  <c r="J254" i="1" s="1"/>
  <c r="I255" i="1"/>
  <c r="J255" i="1" s="1"/>
  <c r="I259" i="1"/>
  <c r="J259" i="1" s="1"/>
  <c r="I260" i="1"/>
  <c r="J260" i="1" s="1"/>
  <c r="I261" i="1"/>
  <c r="J261" i="1" s="1"/>
  <c r="I262" i="1"/>
  <c r="J262" i="1" s="1"/>
  <c r="I263" i="1"/>
  <c r="J263" i="1" s="1"/>
  <c r="I265" i="1"/>
  <c r="J265" i="1" s="1"/>
  <c r="I266" i="1"/>
  <c r="J266" i="1" s="1"/>
  <c r="I269" i="1"/>
  <c r="J269" i="1" s="1"/>
  <c r="I270" i="1"/>
  <c r="J270" i="1" s="1"/>
  <c r="I271" i="1"/>
  <c r="J271" i="1" s="1"/>
  <c r="I273" i="1"/>
  <c r="J273" i="1" s="1"/>
  <c r="I274" i="1"/>
  <c r="J274" i="1" s="1"/>
  <c r="I275" i="1"/>
  <c r="J275" i="1" s="1"/>
  <c r="I276" i="1"/>
  <c r="J276" i="1" s="1"/>
  <c r="I277" i="1"/>
  <c r="J277" i="1" s="1"/>
  <c r="I279" i="1"/>
  <c r="J279" i="1" s="1"/>
  <c r="I280" i="1"/>
  <c r="J280" i="1" s="1"/>
  <c r="I281" i="1"/>
  <c r="J281" i="1" s="1"/>
  <c r="I287" i="1"/>
  <c r="J287" i="1" s="1"/>
  <c r="I291" i="1"/>
  <c r="J291" i="1" s="1"/>
  <c r="I292" i="1"/>
  <c r="J292" i="1" s="1"/>
  <c r="I293" i="1"/>
  <c r="J293" i="1" s="1"/>
  <c r="I294" i="1"/>
  <c r="J294" i="1" s="1"/>
  <c r="I296" i="1"/>
  <c r="J296" i="1" s="1"/>
  <c r="I297" i="1"/>
  <c r="J297" i="1" s="1"/>
  <c r="I298" i="1"/>
  <c r="J298" i="1" s="1"/>
  <c r="I303" i="1"/>
  <c r="J303" i="1" s="1"/>
  <c r="I307" i="1"/>
  <c r="J307" i="1" s="1"/>
  <c r="I308" i="1"/>
  <c r="J308" i="1" s="1"/>
  <c r="I310" i="1"/>
  <c r="J310" i="1" s="1"/>
  <c r="I311" i="1"/>
  <c r="J311" i="1" s="1"/>
  <c r="I312" i="1"/>
  <c r="J312" i="1" s="1"/>
  <c r="I313" i="1"/>
  <c r="J313" i="1" s="1"/>
  <c r="I319" i="1"/>
  <c r="J319" i="1" s="1"/>
  <c r="I323" i="1"/>
  <c r="J323" i="1" s="1"/>
  <c r="I324" i="1"/>
  <c r="J324" i="1" s="1"/>
  <c r="I325" i="1"/>
  <c r="J325" i="1" s="1"/>
  <c r="I326" i="1"/>
  <c r="J326" i="1" s="1"/>
  <c r="I327" i="1"/>
  <c r="J327" i="1" s="1"/>
  <c r="I330" i="1"/>
  <c r="J330" i="1" s="1"/>
  <c r="I335" i="1"/>
  <c r="J335" i="1" s="1"/>
  <c r="I337" i="1"/>
  <c r="J337" i="1" s="1"/>
  <c r="I339" i="1"/>
  <c r="J339" i="1" s="1"/>
  <c r="I340" i="1"/>
  <c r="J340" i="1" s="1"/>
  <c r="I343" i="1"/>
  <c r="J343" i="1" s="1"/>
  <c r="I346" i="1"/>
  <c r="J346" i="1" s="1"/>
  <c r="I349" i="1"/>
  <c r="J349" i="1" s="1"/>
  <c r="I355" i="1"/>
  <c r="J355" i="1" s="1"/>
  <c r="I356" i="1"/>
  <c r="J356" i="1" s="1"/>
  <c r="I357" i="1"/>
  <c r="J357" i="1" s="1"/>
  <c r="I359" i="1"/>
  <c r="J359" i="1" s="1"/>
  <c r="I361" i="1"/>
  <c r="J361" i="1" s="1"/>
  <c r="I365" i="1"/>
  <c r="J365" i="1" s="1"/>
  <c r="I367" i="1"/>
  <c r="J367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81" i="1"/>
  <c r="J381" i="1" s="1"/>
  <c r="I382" i="1"/>
  <c r="J382" i="1" s="1"/>
  <c r="I383" i="1"/>
  <c r="J383" i="1" s="1"/>
  <c r="I387" i="1"/>
  <c r="J387" i="1" s="1"/>
  <c r="I388" i="1"/>
  <c r="J388" i="1" s="1"/>
  <c r="I391" i="1"/>
  <c r="J391" i="1" s="1"/>
  <c r="I394" i="1"/>
  <c r="J394" i="1" s="1"/>
  <c r="I397" i="1"/>
  <c r="J397" i="1" s="1"/>
  <c r="I398" i="1"/>
  <c r="J398" i="1" s="1"/>
  <c r="I399" i="1"/>
  <c r="J399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10" i="1"/>
  <c r="J410" i="1" s="1"/>
  <c r="I413" i="1"/>
  <c r="J413" i="1" s="1"/>
  <c r="I414" i="1"/>
  <c r="J414" i="1" s="1"/>
  <c r="I415" i="1"/>
  <c r="J415" i="1" s="1"/>
  <c r="I419" i="1"/>
  <c r="J419" i="1" s="1"/>
  <c r="I421" i="1"/>
  <c r="J421" i="1" s="1"/>
  <c r="I422" i="1"/>
  <c r="J422" i="1" s="1"/>
  <c r="I423" i="1"/>
  <c r="J423" i="1" s="1"/>
  <c r="I424" i="1"/>
  <c r="J424" i="1" s="1"/>
  <c r="I426" i="1"/>
  <c r="J426" i="1" s="1"/>
  <c r="I431" i="1"/>
  <c r="J431" i="1" s="1"/>
  <c r="I435" i="1"/>
  <c r="J435" i="1" s="1"/>
  <c r="I436" i="1"/>
  <c r="J436" i="1" s="1"/>
  <c r="I437" i="1"/>
  <c r="J437" i="1" s="1"/>
  <c r="I441" i="1"/>
  <c r="J441" i="1" s="1"/>
  <c r="I444" i="1"/>
  <c r="J444" i="1" s="1"/>
  <c r="I446" i="1"/>
  <c r="J446" i="1" s="1"/>
  <c r="I447" i="1"/>
  <c r="J447" i="1" s="1"/>
  <c r="I448" i="1"/>
  <c r="J448" i="1" s="1"/>
  <c r="I451" i="1"/>
  <c r="J451" i="1" s="1"/>
  <c r="I453" i="1"/>
  <c r="J453" i="1" s="1"/>
  <c r="I454" i="1"/>
  <c r="J454" i="1" s="1"/>
  <c r="I456" i="1"/>
  <c r="J456" i="1" s="1"/>
  <c r="I462" i="1"/>
  <c r="J462" i="1" s="1"/>
  <c r="I463" i="1"/>
  <c r="J463" i="1" s="1"/>
  <c r="I464" i="1"/>
  <c r="J464" i="1" s="1"/>
  <c r="I467" i="1"/>
  <c r="J467" i="1" s="1"/>
  <c r="I468" i="1"/>
  <c r="J468" i="1" s="1"/>
  <c r="I469" i="1"/>
  <c r="J469" i="1" s="1"/>
  <c r="I470" i="1"/>
  <c r="J470" i="1" s="1"/>
  <c r="I477" i="1"/>
  <c r="J477" i="1" s="1"/>
  <c r="I479" i="1"/>
  <c r="J479" i="1" s="1"/>
  <c r="I483" i="1"/>
  <c r="J483" i="1" s="1"/>
  <c r="I485" i="1"/>
  <c r="J485" i="1" s="1"/>
  <c r="I488" i="1"/>
  <c r="J488" i="1" s="1"/>
  <c r="I489" i="1"/>
  <c r="J489" i="1" s="1"/>
  <c r="I493" i="1"/>
  <c r="J493" i="1" s="1"/>
  <c r="I495" i="1"/>
  <c r="J495" i="1" s="1"/>
  <c r="I496" i="1"/>
  <c r="J496" i="1" s="1"/>
  <c r="I497" i="1"/>
  <c r="J497" i="1" s="1"/>
  <c r="I499" i="1"/>
  <c r="J499" i="1" s="1"/>
  <c r="I505" i="1"/>
  <c r="J505" i="1" s="1"/>
  <c r="I509" i="1"/>
  <c r="J509" i="1" s="1"/>
  <c r="I510" i="1"/>
  <c r="J510" i="1" s="1"/>
  <c r="I511" i="1"/>
  <c r="J511" i="1" s="1"/>
  <c r="I512" i="1"/>
  <c r="J512" i="1" s="1"/>
  <c r="I515" i="1"/>
  <c r="J515" i="1" s="1"/>
  <c r="I518" i="1"/>
  <c r="J518" i="1" s="1"/>
  <c r="I520" i="1"/>
  <c r="J520" i="1" s="1"/>
  <c r="I521" i="1"/>
  <c r="J521" i="1" s="1"/>
  <c r="I525" i="1"/>
  <c r="J525" i="1" s="1"/>
  <c r="I527" i="1"/>
  <c r="J527" i="1" s="1"/>
  <c r="I528" i="1"/>
  <c r="J528" i="1" s="1"/>
  <c r="I531" i="1"/>
  <c r="J531" i="1" s="1"/>
  <c r="I536" i="1"/>
  <c r="J536" i="1" s="1"/>
  <c r="I543" i="1"/>
  <c r="J543" i="1" s="1"/>
  <c r="I547" i="1"/>
  <c r="J547" i="1" s="1"/>
  <c r="I549" i="1"/>
  <c r="J549" i="1" s="1"/>
  <c r="I559" i="1"/>
  <c r="J559" i="1" s="1"/>
  <c r="I563" i="1"/>
  <c r="J563" i="1" s="1"/>
  <c r="I565" i="1"/>
  <c r="J565" i="1" s="1"/>
  <c r="I573" i="1"/>
  <c r="J573" i="1" s="1"/>
  <c r="I575" i="1"/>
  <c r="J575" i="1" s="1"/>
  <c r="I579" i="1"/>
  <c r="J579" i="1" s="1"/>
  <c r="I581" i="1"/>
  <c r="J581" i="1" s="1"/>
  <c r="I589" i="1"/>
  <c r="J589" i="1" s="1"/>
  <c r="I591" i="1"/>
  <c r="J591" i="1" s="1"/>
  <c r="I592" i="1"/>
  <c r="J592" i="1" s="1"/>
  <c r="I595" i="1"/>
  <c r="J595" i="1" s="1"/>
  <c r="I605" i="1"/>
  <c r="J605" i="1" s="1"/>
  <c r="I607" i="1"/>
  <c r="J607" i="1" s="1"/>
  <c r="I623" i="1"/>
  <c r="J623" i="1" s="1"/>
  <c r="I627" i="1"/>
  <c r="J627" i="1" s="1"/>
  <c r="I628" i="1"/>
  <c r="J628" i="1" s="1"/>
  <c r="I639" i="1"/>
  <c r="J639" i="1" s="1"/>
  <c r="I643" i="1"/>
  <c r="J643" i="1" s="1"/>
  <c r="I645" i="1"/>
  <c r="J645" i="1" s="1"/>
  <c r="I653" i="1"/>
  <c r="J653" i="1" s="1"/>
  <c r="I655" i="1"/>
  <c r="J655" i="1" s="1"/>
  <c r="I659" i="1"/>
  <c r="J659" i="1" s="1"/>
  <c r="I662" i="1"/>
  <c r="J662" i="1" s="1"/>
  <c r="I663" i="1"/>
  <c r="J663" i="1" s="1"/>
  <c r="I668" i="1"/>
  <c r="J668" i="1" s="1"/>
  <c r="I675" i="1"/>
  <c r="J675" i="1" s="1"/>
  <c r="I678" i="1"/>
  <c r="J678" i="1" s="1"/>
  <c r="I691" i="1"/>
  <c r="J691" i="1" s="1"/>
  <c r="I700" i="1"/>
  <c r="J700" i="1" s="1"/>
  <c r="I707" i="1"/>
  <c r="J707" i="1" s="1"/>
  <c r="I719" i="1"/>
  <c r="J719" i="1" s="1"/>
  <c r="I723" i="1"/>
  <c r="J723" i="1" s="1"/>
  <c r="I726" i="1"/>
  <c r="J726" i="1" s="1"/>
  <c r="I728" i="1"/>
  <c r="J728" i="1" s="1"/>
  <c r="I735" i="1"/>
  <c r="J735" i="1" s="1"/>
  <c r="I739" i="1"/>
  <c r="J739" i="1" s="1"/>
  <c r="I742" i="1"/>
  <c r="J742" i="1" s="1"/>
  <c r="I744" i="1"/>
  <c r="J744" i="1" s="1"/>
  <c r="I751" i="1"/>
  <c r="J751" i="1" s="1"/>
  <c r="I753" i="1"/>
  <c r="J753" i="1" s="1"/>
  <c r="I4" i="1"/>
  <c r="J4" i="1" s="1"/>
  <c r="I745" i="1" l="1"/>
  <c r="J745" i="1" s="1"/>
  <c r="I683" i="1"/>
  <c r="J683" i="1" s="1"/>
  <c r="I667" i="1"/>
  <c r="J667" i="1" s="1"/>
  <c r="I534" i="1"/>
  <c r="J534" i="1" s="1"/>
  <c r="I599" i="1"/>
  <c r="J599" i="1" s="1"/>
  <c r="I583" i="1"/>
  <c r="J583" i="1" s="1"/>
  <c r="I682" i="1"/>
  <c r="J682" i="1" s="1"/>
  <c r="I649" i="1"/>
  <c r="J649" i="1" s="1"/>
  <c r="I633" i="1"/>
  <c r="J633" i="1" s="1"/>
  <c r="I550" i="1"/>
  <c r="J550" i="1" s="1"/>
  <c r="I741" i="1"/>
  <c r="J741" i="1" s="1"/>
  <c r="I251" i="1"/>
  <c r="J251" i="1" s="1"/>
  <c r="I283" i="1"/>
  <c r="J283" i="1" s="1"/>
  <c r="I596" i="1"/>
  <c r="J596" i="1" s="1"/>
  <c r="I235" i="1"/>
  <c r="J235" i="1" s="1"/>
  <c r="I267" i="1"/>
  <c r="J267" i="1" s="1"/>
  <c r="I580" i="1"/>
  <c r="J580" i="1" s="1"/>
  <c r="I299" i="1"/>
  <c r="J299" i="1" s="1"/>
  <c r="I711" i="1"/>
  <c r="J711" i="1" s="1"/>
  <c r="I695" i="1"/>
  <c r="J695" i="1" s="1"/>
  <c r="I331" i="1"/>
  <c r="J331" i="1" s="1"/>
  <c r="I555" i="1"/>
  <c r="J555" i="1" s="1"/>
  <c r="I539" i="1"/>
  <c r="J539" i="1" s="1"/>
  <c r="I473" i="1"/>
  <c r="J473" i="1" s="1"/>
  <c r="I619" i="1"/>
  <c r="J619" i="1" s="1"/>
  <c r="I586" i="1"/>
  <c r="J586" i="1" s="1"/>
  <c r="I570" i="1"/>
  <c r="J570" i="1" s="1"/>
  <c r="I635" i="1"/>
  <c r="J635" i="1" s="1"/>
  <c r="I585" i="1"/>
  <c r="J585" i="1" s="1"/>
  <c r="I569" i="1"/>
  <c r="J569" i="1" s="1"/>
  <c r="I634" i="1"/>
  <c r="J634" i="1" s="1"/>
  <c r="I187" i="1"/>
  <c r="J187" i="1" s="1"/>
  <c r="I171" i="1"/>
  <c r="J171" i="1" s="1"/>
  <c r="I18" i="1"/>
  <c r="J18" i="1" s="1"/>
  <c r="I10" i="1"/>
  <c r="J10" i="1" s="1"/>
  <c r="I9" i="1"/>
  <c r="J9" i="1" s="1"/>
  <c r="I6" i="1"/>
  <c r="J6" i="1" s="1"/>
  <c r="I734" i="1"/>
  <c r="J734" i="1" s="1"/>
  <c r="I718" i="1"/>
  <c r="J718" i="1" s="1"/>
  <c r="I702" i="1"/>
  <c r="J702" i="1" s="1"/>
  <c r="I654" i="1"/>
  <c r="J654" i="1" s="1"/>
  <c r="I638" i="1"/>
  <c r="J638" i="1" s="1"/>
  <c r="I574" i="1"/>
  <c r="J574" i="1" s="1"/>
  <c r="I558" i="1"/>
  <c r="J558" i="1" s="1"/>
  <c r="I699" i="1"/>
  <c r="J699" i="1" s="1"/>
  <c r="I746" i="1"/>
  <c r="J746" i="1" s="1"/>
  <c r="I730" i="1"/>
  <c r="J730" i="1" s="1"/>
  <c r="I714" i="1"/>
  <c r="J714" i="1" s="1"/>
  <c r="I698" i="1"/>
  <c r="J698" i="1" s="1"/>
  <c r="I666" i="1"/>
  <c r="J666" i="1" s="1"/>
  <c r="I650" i="1"/>
  <c r="J650" i="1" s="1"/>
  <c r="I618" i="1"/>
  <c r="J618" i="1" s="1"/>
  <c r="I602" i="1"/>
  <c r="J602" i="1" s="1"/>
  <c r="I554" i="1"/>
  <c r="J554" i="1" s="1"/>
  <c r="I538" i="1"/>
  <c r="J538" i="1" s="1"/>
  <c r="I522" i="1"/>
  <c r="J522" i="1" s="1"/>
  <c r="I740" i="1"/>
  <c r="J740" i="1" s="1"/>
  <c r="I692" i="1"/>
  <c r="J692" i="1" s="1"/>
  <c r="I676" i="1"/>
  <c r="J676" i="1" s="1"/>
  <c r="I612" i="1"/>
  <c r="J612" i="1" s="1"/>
  <c r="I532" i="1"/>
  <c r="J532" i="1" s="1"/>
  <c r="I754" i="1"/>
  <c r="J754" i="1" s="1"/>
  <c r="I738" i="1"/>
  <c r="J738" i="1" s="1"/>
  <c r="I722" i="1"/>
  <c r="J722" i="1" s="1"/>
  <c r="I706" i="1"/>
  <c r="J706" i="1" s="1"/>
  <c r="I674" i="1"/>
  <c r="J674" i="1" s="1"/>
  <c r="I658" i="1"/>
  <c r="J658" i="1" s="1"/>
  <c r="I642" i="1"/>
  <c r="J642" i="1" s="1"/>
  <c r="I338" i="1"/>
  <c r="J338" i="1" s="1"/>
  <c r="I322" i="1"/>
  <c r="J322" i="1" s="1"/>
  <c r="I306" i="1"/>
  <c r="J306" i="1" s="1"/>
  <c r="I290" i="1"/>
  <c r="J290" i="1" s="1"/>
  <c r="I258" i="1"/>
  <c r="J258" i="1" s="1"/>
  <c r="I242" i="1"/>
  <c r="J242" i="1" s="1"/>
  <c r="I226" i="1"/>
  <c r="J226" i="1" s="1"/>
  <c r="I210" i="1"/>
  <c r="J210" i="1" s="1"/>
</calcChain>
</file>

<file path=xl/sharedStrings.xml><?xml version="1.0" encoding="utf-8"?>
<sst xmlns="http://schemas.openxmlformats.org/spreadsheetml/2006/main" count="1557" uniqueCount="48">
  <si>
    <t>Date</t>
  </si>
  <si>
    <t>Day</t>
  </si>
  <si>
    <t>Season</t>
  </si>
  <si>
    <t>Season Mult</t>
  </si>
  <si>
    <t>Price ($)</t>
  </si>
  <si>
    <t>Thursday</t>
  </si>
  <si>
    <t>Winter</t>
  </si>
  <si>
    <t>New Year</t>
  </si>
  <si>
    <t>Friday</t>
  </si>
  <si>
    <t>Saturday</t>
  </si>
  <si>
    <t>Sunday</t>
  </si>
  <si>
    <t>Monday</t>
  </si>
  <si>
    <t>Tuesday</t>
  </si>
  <si>
    <t>Wednesday</t>
  </si>
  <si>
    <t>Low</t>
  </si>
  <si>
    <t>Spring</t>
  </si>
  <si>
    <t>Summer</t>
  </si>
  <si>
    <t>St-Jean</t>
  </si>
  <si>
    <t>Canada Day</t>
  </si>
  <si>
    <t>Construction Holiday</t>
  </si>
  <si>
    <t>Fall</t>
  </si>
  <si>
    <t>Labor Day</t>
  </si>
  <si>
    <t>Thanksgiving</t>
  </si>
  <si>
    <t>Christmas</t>
  </si>
  <si>
    <t>Base Price</t>
  </si>
  <si>
    <t>Jour de la semaine</t>
  </si>
  <si>
    <t>Fériér</t>
  </si>
  <si>
    <t>Fériér Boost</t>
  </si>
  <si>
    <t>Adj de demande</t>
  </si>
  <si>
    <t>Final %</t>
  </si>
  <si>
    <t>Season Mult:</t>
  </si>
  <si>
    <t>Jour De la Semaine:</t>
  </si>
  <si>
    <t>January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</si>
  <si>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</si>
  <si>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</si>
  <si>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</si>
  <si>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</si>
  <si>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</si>
  <si>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</si>
  <si>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</si>
  <si>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</si>
  <si>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</si>
  <si>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</si>
  <si>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</si>
  <si>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 START</t>
  </si>
  <si>
    <t>DATE END</t>
  </si>
  <si>
    <t>TOTAL: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</si>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</sst>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1009]mmmm\ d\,\ yyyy;@"/>
    <numFmt numFmtId="167" formatCode="[$-1009]d\ mmm\ \,\ yy;@"/>
    <numFmt numFmtId="172" formatCode="dd/mm/yyyy;@"/>
    <numFmt numFmtId="173" formatCode="#,##0.00_ ;\-#,##0.00\ 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165" fontId="1" fillId="0" borderId="0" xfId="0" applyNumberFormat="1" applyFont="1"/>
    <xf numFmtId="165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3" fillId="2" borderId="0" xfId="0" applyNumberFormat="1" applyFont="1" applyFill="1" applyAlignment="1">
      <alignment horizontal="centerContinuous"/>
    </xf>
    <xf numFmtId="0" fontId="3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 vertical="center"/>
    </xf>
    <xf numFmtId="0" fontId="0" fillId="2" borderId="0" xfId="0" applyFill="1" applyAlignment="1">
      <alignment horizontal="centerContinuous"/>
    </xf>
    <xf numFmtId="167" fontId="0" fillId="3" borderId="0" xfId="0" applyNumberFormat="1" applyFill="1"/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right"/>
    </xf>
    <xf numFmtId="0" fontId="0" fillId="3" borderId="0" xfId="0" applyFill="1"/>
    <xf numFmtId="0" fontId="6" fillId="3" borderId="0" xfId="0" applyFont="1" applyFill="1"/>
    <xf numFmtId="14" fontId="0" fillId="3" borderId="0" xfId="0" applyNumberFormat="1" applyFill="1"/>
    <xf numFmtId="0" fontId="7" fillId="3" borderId="1" xfId="1" applyFont="1" applyFill="1" applyAlignment="1">
      <alignment horizontal="center"/>
    </xf>
    <xf numFmtId="0" fontId="8" fillId="3" borderId="0" xfId="0" applyFont="1" applyFill="1" applyAlignment="1"/>
    <xf numFmtId="172" fontId="8" fillId="3" borderId="0" xfId="0" applyNumberFormat="1" applyFont="1" applyFill="1" applyAlignment="1"/>
    <xf numFmtId="0" fontId="8" fillId="3" borderId="0" xfId="0" applyFont="1" applyFill="1" applyAlignment="1">
      <alignment horizontal="centerContinuous"/>
    </xf>
    <xf numFmtId="0" fontId="8" fillId="3" borderId="0" xfId="0" applyFont="1" applyFill="1" applyAlignment="1">
      <alignment horizontal="centerContinuous" vertical="distributed"/>
    </xf>
    <xf numFmtId="0" fontId="4" fillId="3" borderId="0" xfId="2" applyFill="1"/>
    <xf numFmtId="167" fontId="8" fillId="3" borderId="0" xfId="0" applyNumberFormat="1" applyFont="1" applyFill="1" applyAlignment="1">
      <alignment horizontal="centerContinuous"/>
    </xf>
    <xf numFmtId="167" fontId="8" fillId="3" borderId="0" xfId="0" applyNumberFormat="1" applyFont="1" applyFill="1" applyAlignment="1">
      <alignment vertical="distributed"/>
    </xf>
    <xf numFmtId="0" fontId="8" fillId="3" borderId="0" xfId="0" applyFont="1" applyFill="1" applyAlignment="1">
      <alignment vertical="distributed"/>
    </xf>
    <xf numFmtId="0" fontId="9" fillId="3" borderId="0" xfId="0" applyFont="1" applyFill="1" applyAlignment="1">
      <alignment horizontal="left"/>
    </xf>
    <xf numFmtId="173" fontId="9" fillId="3" borderId="0" xfId="0" applyNumberFormat="1" applyFont="1" applyFill="1"/>
    <xf numFmtId="0" fontId="8" fillId="3" borderId="0" xfId="0" applyFont="1" applyFill="1"/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2.xml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7</xdr:row>
      <xdr:rowOff>133350</xdr:rowOff>
    </xdr:from>
    <xdr:to>
      <xdr:col>3</xdr:col>
      <xdr:colOff>400051</xdr:colOff>
      <xdr:row>15</xdr:row>
      <xdr:rowOff>66675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5" name="Add-in 4">
              <a:extLst>
                <a:ext uri="{FF2B5EF4-FFF2-40B4-BE49-F238E27FC236}">
                  <a16:creationId xmlns:a16="http://schemas.microsoft.com/office/drawing/2014/main" id="{0C747B92-01BD-76D9-876B-A8B9ED5A4A59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5" name="Add-in 4">
              <a:extLst>
                <a:ext uri="{FF2B5EF4-FFF2-40B4-BE49-F238E27FC236}">
                  <a16:creationId xmlns:a16="http://schemas.microsoft.com/office/drawing/2014/main" id="{0C747B92-01BD-76D9-876B-A8B9ED5A4A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428625</xdr:colOff>
      <xdr:row>7</xdr:row>
      <xdr:rowOff>114300</xdr:rowOff>
    </xdr:from>
    <xdr:to>
      <xdr:col>6</xdr:col>
      <xdr:colOff>323850</xdr:colOff>
      <xdr:row>15</xdr:row>
      <xdr:rowOff>85725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6" name="Add-in 5">
              <a:extLst>
                <a:ext uri="{FF2B5EF4-FFF2-40B4-BE49-F238E27FC236}">
                  <a16:creationId xmlns:a16="http://schemas.microsoft.com/office/drawing/2014/main" id="{7D5200EA-8816-D475-B4FA-67C456658FCC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6" name="Add-in 5">
              <a:extLst>
                <a:ext uri="{FF2B5EF4-FFF2-40B4-BE49-F238E27FC236}">
                  <a16:creationId xmlns:a16="http://schemas.microsoft.com/office/drawing/2014/main" id="{7D5200EA-8816-D475-B4FA-67C456658FC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webextension1.xml><?xml version="1.0" encoding="utf-8"?>
<we:webextension xmlns:we="http://schemas.microsoft.com/office/webextensions/webextension/2010/11" id="{0C747B92-01BD-76D9-876B-A8B9ED5A4A59}">
  <we:reference id="wa102957665" version="1.3.0.0" store="en-US" storeType="OMEX"/>
  <we:alternateReferences>
    <we:reference id="WA102957665" version="1.3.0.0" store="" storeType="OMEX"/>
  </we:alternateReferences>
  <we:properties>
    <we:property name="opt_cal_sys" value="1"/>
    <we:property name="opt_wn" value="false"/>
    <we:property name="opt_theme" value="1"/>
    <we:property name="opt_size" value="1"/>
    <we:property name="opt_confirm" value="true"/>
    <we:property name="opt_month" value="&quot;2026-08-01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7D5200EA-8816-D475-B4FA-67C456658FCC}">
  <we:reference id="wa102957665" version="1.3.0.0" store="en-US" storeType="OMEX"/>
  <we:alternateReferences>
    <we:reference id="WA102957665" version="1.3.0.0" store="" storeType="OMEX"/>
  </we:alternateReferences>
  <we:properties>
    <we:property name="opt_cal_sys" value="1"/>
    <we:property name="opt_wn" value="false"/>
    <we:property name="opt_theme" value="1"/>
    <we:property name="opt_size" value="1"/>
    <we:property name="opt_confirm" value="true"/>
    <we:property name="opt_month" value="&quot;2026-08-01&quot;"/>
  </we:properties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FB86-F82A-4000-9DA1-1A7B3902FC42}">
  <dimension ref="A1:Q32"/>
  <sheetViews>
    <sheetView tabSelected="1" workbookViewId="0">
      <selection activeCell="K11" sqref="K11"/>
    </sheetView>
  </sheetViews>
  <sheetFormatPr defaultRowHeight="15" x14ac:dyDescent="0.25"/>
  <cols>
    <col min="2" max="2" width="15.7109375" bestFit="1" customWidth="1"/>
    <col min="5" max="5" width="15.7109375" bestFit="1" customWidth="1"/>
    <col min="10" max="10" width="16.42578125" customWidth="1"/>
  </cols>
  <sheetData>
    <row r="1" spans="1:17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.75" thickBot="1" x14ac:dyDescent="0.3">
      <c r="A5" s="18"/>
      <c r="B5" s="21" t="s">
        <v>44</v>
      </c>
      <c r="C5" s="21"/>
      <c r="D5" s="21"/>
      <c r="E5" s="21" t="s">
        <v>45</v>
      </c>
      <c r="F5" s="21"/>
      <c r="G5" s="21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16.5" thickTop="1" thickBot="1" x14ac:dyDescent="0.3">
      <c r="A6" s="18"/>
      <c r="B6" s="21"/>
      <c r="C6" s="21"/>
      <c r="D6" s="21"/>
      <c r="E6" s="21"/>
      <c r="F6" s="21"/>
      <c r="G6" s="21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25.5" customHeight="1" thickTop="1" x14ac:dyDescent="0.35">
      <c r="A7" s="18"/>
      <c r="B7" s="28">
        <v>46240</v>
      </c>
      <c r="C7" s="29"/>
      <c r="D7" s="29"/>
      <c r="E7" s="23">
        <v>46247</v>
      </c>
      <c r="F7" s="27"/>
      <c r="G7" s="24"/>
      <c r="H7" s="30" t="s">
        <v>46</v>
      </c>
      <c r="I7" s="18"/>
      <c r="J7" s="31">
        <f>SUMIFS(Calendar!J:J, Calendar!A:A, "&gt;="&amp;B7, Calendar!A:A, "&lt;"&amp;E7)</f>
        <v>2808</v>
      </c>
      <c r="K7" s="32" t="s">
        <v>47</v>
      </c>
      <c r="L7" s="18"/>
      <c r="M7" s="18"/>
      <c r="N7" s="18"/>
      <c r="O7" s="18"/>
      <c r="P7" s="18"/>
      <c r="Q7" s="18"/>
    </row>
    <row r="8" spans="1:17" ht="15" customHeight="1" x14ac:dyDescent="0.35">
      <c r="A8" s="18"/>
      <c r="B8" s="25"/>
      <c r="C8" s="25"/>
      <c r="D8" s="25"/>
      <c r="E8" s="22"/>
      <c r="F8" s="22"/>
      <c r="G8" s="22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x14ac:dyDescent="0.25">
      <c r="A10" s="18"/>
      <c r="B10" s="26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5"/>
      <c r="M12" s="18"/>
      <c r="N12" s="18"/>
      <c r="O12" s="18"/>
      <c r="P12" s="18"/>
      <c r="Q12" s="18"/>
    </row>
    <row r="13" spans="1:1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>
        <f>COUNTIFS(Calendar!A:A, "&gt;="&amp;B7, Calendar!A:A, "&lt;"&amp;E7)</f>
        <v>7</v>
      </c>
      <c r="M17" s="18"/>
      <c r="N17" s="18"/>
      <c r="O17" s="18"/>
      <c r="P17" s="18"/>
      <c r="Q17" s="18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0"/>
      <c r="K18" s="18"/>
      <c r="L18" s="18"/>
      <c r="M18" s="18"/>
      <c r="N18" s="18"/>
      <c r="O18" s="18"/>
      <c r="P18" s="18"/>
      <c r="Q18" s="18"/>
    </row>
    <row r="19" spans="1:1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</sheetData>
  <mergeCells count="2">
    <mergeCell ref="B5:D6"/>
    <mergeCell ref="E5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21.140625" customWidth="1"/>
  </cols>
  <sheetData>
    <row r="1" spans="1:3" x14ac:dyDescent="0.25">
      <c r="A1" t="s">
        <v>24</v>
      </c>
      <c r="B1">
        <v>300</v>
      </c>
    </row>
    <row r="3" spans="1:3" x14ac:dyDescent="0.25">
      <c r="A3" t="s">
        <v>30</v>
      </c>
    </row>
    <row r="4" spans="1:3" x14ac:dyDescent="0.25">
      <c r="B4" t="s">
        <v>6</v>
      </c>
      <c r="C4">
        <v>1.25</v>
      </c>
    </row>
    <row r="5" spans="1:3" x14ac:dyDescent="0.25">
      <c r="B5" t="s">
        <v>14</v>
      </c>
      <c r="C5">
        <v>0.85</v>
      </c>
    </row>
    <row r="6" spans="1:3" x14ac:dyDescent="0.25">
      <c r="B6" t="s">
        <v>15</v>
      </c>
      <c r="C6">
        <v>0.9</v>
      </c>
    </row>
    <row r="7" spans="1:3" x14ac:dyDescent="0.25">
      <c r="B7" t="s">
        <v>16</v>
      </c>
      <c r="C7">
        <v>1.3</v>
      </c>
    </row>
    <row r="8" spans="1:3" x14ac:dyDescent="0.25">
      <c r="B8" t="s">
        <v>20</v>
      </c>
      <c r="C8">
        <v>1.1499999999999999</v>
      </c>
    </row>
    <row r="10" spans="1:3" x14ac:dyDescent="0.25">
      <c r="A10" t="s">
        <v>31</v>
      </c>
    </row>
    <row r="11" spans="1:3" x14ac:dyDescent="0.25">
      <c r="B11" t="s">
        <v>11</v>
      </c>
      <c r="C11">
        <v>0.95</v>
      </c>
    </row>
    <row r="12" spans="1:3" x14ac:dyDescent="0.25">
      <c r="B12" t="s">
        <v>12</v>
      </c>
      <c r="C12">
        <v>0.95</v>
      </c>
    </row>
    <row r="13" spans="1:3" x14ac:dyDescent="0.25">
      <c r="B13" t="s">
        <v>13</v>
      </c>
      <c r="C13">
        <v>0.95</v>
      </c>
    </row>
    <row r="14" spans="1:3" x14ac:dyDescent="0.25">
      <c r="B14" t="s">
        <v>5</v>
      </c>
      <c r="C14">
        <v>0.95</v>
      </c>
    </row>
    <row r="15" spans="1:3" x14ac:dyDescent="0.25">
      <c r="B15" t="s">
        <v>8</v>
      </c>
      <c r="C15">
        <v>1.1000000000000001</v>
      </c>
    </row>
    <row r="16" spans="1:3" x14ac:dyDescent="0.25">
      <c r="B16" t="s">
        <v>9</v>
      </c>
      <c r="C16">
        <v>1.25</v>
      </c>
    </row>
    <row r="17" spans="1:3" x14ac:dyDescent="0.25">
      <c r="B17" t="s">
        <v>10</v>
      </c>
      <c r="C17">
        <v>1.05</v>
      </c>
    </row>
    <row r="19" spans="1:3" x14ac:dyDescent="0.25">
      <c r="A19" s="2" t="s">
        <v>26</v>
      </c>
    </row>
    <row r="20" spans="1:3" x14ac:dyDescent="0.25">
      <c r="B20" t="s">
        <v>7</v>
      </c>
      <c r="C20">
        <v>0.5</v>
      </c>
    </row>
    <row r="21" spans="1:3" x14ac:dyDescent="0.25">
      <c r="B21" t="s">
        <v>17</v>
      </c>
      <c r="C21">
        <v>0.35</v>
      </c>
    </row>
    <row r="22" spans="1:3" x14ac:dyDescent="0.25">
      <c r="B22" t="s">
        <v>18</v>
      </c>
      <c r="C22">
        <v>0.35</v>
      </c>
    </row>
    <row r="23" spans="1:3" x14ac:dyDescent="0.25">
      <c r="B23" t="s">
        <v>19</v>
      </c>
      <c r="C23">
        <v>0.45</v>
      </c>
    </row>
    <row r="24" spans="1:3" x14ac:dyDescent="0.25">
      <c r="B24" t="s">
        <v>21</v>
      </c>
      <c r="C24">
        <v>0.25</v>
      </c>
    </row>
    <row r="25" spans="1:3" x14ac:dyDescent="0.25">
      <c r="B25" t="s">
        <v>22</v>
      </c>
      <c r="C25">
        <v>0.25</v>
      </c>
    </row>
    <row r="26" spans="1:3" x14ac:dyDescent="0.25">
      <c r="B26" t="s">
        <v>23</v>
      </c>
      <c r="C26">
        <v>0.6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5"/>
  <sheetViews>
    <sheetView zoomScaleNormal="100" workbookViewId="0">
      <pane ySplit="1" topLeftCell="A2" activePane="bottomLeft" state="frozen"/>
      <selection pane="bottomLeft" activeCell="R4" sqref="R4"/>
    </sheetView>
  </sheetViews>
  <sheetFormatPr defaultRowHeight="15" x14ac:dyDescent="0.25"/>
  <cols>
    <col min="1" max="1" width="12.7109375" style="4" customWidth="1"/>
    <col min="2" max="2" width="15.28515625" style="7" customWidth="1"/>
    <col min="3" max="3" width="11.85546875" style="9" customWidth="1"/>
    <col min="4" max="4" width="12.5703125" customWidth="1"/>
    <col min="5" max="5" width="18.85546875" customWidth="1"/>
    <col min="7" max="7" width="14.7109375" customWidth="1"/>
    <col min="8" max="8" width="21.28515625" customWidth="1"/>
    <col min="9" max="9" width="8" customWidth="1"/>
  </cols>
  <sheetData>
    <row r="1" spans="1:17" x14ac:dyDescent="0.25">
      <c r="A1" s="3" t="s">
        <v>0</v>
      </c>
      <c r="B1" s="6" t="s">
        <v>1</v>
      </c>
      <c r="C1" s="8" t="s">
        <v>2</v>
      </c>
      <c r="D1" s="1" t="s">
        <v>3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1" t="s">
        <v>4</v>
      </c>
    </row>
    <row r="2" spans="1:17" x14ac:dyDescent="0.25">
      <c r="A2" s="10" t="s">
        <v>32</v>
      </c>
      <c r="B2" s="11"/>
      <c r="C2" s="12"/>
      <c r="D2" s="1"/>
      <c r="E2" s="2"/>
      <c r="F2" s="2"/>
      <c r="G2" s="2"/>
      <c r="H2" s="2"/>
      <c r="I2" s="2"/>
      <c r="J2" s="1"/>
    </row>
    <row r="3" spans="1:17" x14ac:dyDescent="0.25">
      <c r="A3" s="5">
        <v>46023</v>
      </c>
      <c r="B3" s="7" t="s">
        <v>5</v>
      </c>
      <c r="C3" s="9" t="s">
        <v>6</v>
      </c>
      <c r="D3">
        <f>_xlfn.XLOOKUP(C3, 'Control Panel'!$B$4:$B$8,'Control Panel'!$C$4:$C$8,"0")</f>
        <v>1.25</v>
      </c>
      <c r="E3">
        <f>_xlfn.XLOOKUP(B3, 'Control Panel'!$B$11:$B$17,'Control Panel'!$C$11:$C$17,"0")</f>
        <v>0.95</v>
      </c>
      <c r="F3" t="s">
        <v>7</v>
      </c>
      <c r="G3" s="9">
        <f>_xlfn.XLOOKUP(F3, 'Control Panel'!$B$20:$B$26,'Control Panel'!$C$20:$C$26,"0")</f>
        <v>0.5</v>
      </c>
      <c r="H3">
        <v>0</v>
      </c>
      <c r="I3">
        <f>(D3*E3)+G3+H3</f>
        <v>1.6875</v>
      </c>
      <c r="J3">
        <f>MAX(300,SUM('Control Panel'!$B$1*I3))</f>
        <v>506.25</v>
      </c>
      <c r="Q3" s="5"/>
    </row>
    <row r="4" spans="1:17" x14ac:dyDescent="0.25">
      <c r="A4" s="5">
        <v>46024</v>
      </c>
      <c r="B4" s="7" t="s">
        <v>8</v>
      </c>
      <c r="C4" s="9" t="s">
        <v>6</v>
      </c>
      <c r="D4">
        <f>_xlfn.XLOOKUP(C4, 'Control Panel'!$B$4:$B$8,'Control Panel'!$C$4:$C$8,"0")</f>
        <v>1.25</v>
      </c>
      <c r="E4">
        <f>_xlfn.XLOOKUP(B4, 'Control Panel'!$B$11:$B$17,'Control Panel'!$C$11:$C$17,"0")</f>
        <v>1.1000000000000001</v>
      </c>
      <c r="G4" s="9" t="str">
        <f>_xlfn.XLOOKUP(F4, 'Control Panel'!$B$20:$B$26,'Control Panel'!$C$20:$C$26,"0")</f>
        <v>0</v>
      </c>
      <c r="H4">
        <v>0</v>
      </c>
      <c r="I4">
        <f>(D4*E4)+G4+H4</f>
        <v>1.375</v>
      </c>
      <c r="J4">
        <f>MAX(300,SUM('Control Panel'!$B$1*I4))</f>
        <v>412.5</v>
      </c>
    </row>
    <row r="5" spans="1:17" x14ac:dyDescent="0.25">
      <c r="A5" s="5">
        <v>46025</v>
      </c>
      <c r="B5" s="7" t="s">
        <v>9</v>
      </c>
      <c r="C5" s="9" t="s">
        <v>6</v>
      </c>
      <c r="D5">
        <f>_xlfn.XLOOKUP(C5, 'Control Panel'!$B$4:$B$8,'Control Panel'!$C$4:$C$8,"0")</f>
        <v>1.25</v>
      </c>
      <c r="E5">
        <f>_xlfn.XLOOKUP(B5, 'Control Panel'!$B$11:$B$17,'Control Panel'!$C$11:$C$17,"0")</f>
        <v>1.25</v>
      </c>
      <c r="G5" s="9" t="str">
        <f>_xlfn.XLOOKUP(F5, 'Control Panel'!$B$20:$B$26,'Control Panel'!$C$20:$C$26,"0")</f>
        <v>0</v>
      </c>
      <c r="H5">
        <v>0</v>
      </c>
      <c r="I5">
        <f t="shared" ref="I5:I70" si="0">(D5*E5)+G5+H5</f>
        <v>1.5625</v>
      </c>
      <c r="J5">
        <f>MAX(300,SUM('Control Panel'!$B$1*I5))</f>
        <v>468.75</v>
      </c>
    </row>
    <row r="6" spans="1:17" x14ac:dyDescent="0.25">
      <c r="A6" s="5">
        <v>46026</v>
      </c>
      <c r="B6" s="7" t="s">
        <v>10</v>
      </c>
      <c r="C6" s="9" t="s">
        <v>6</v>
      </c>
      <c r="D6">
        <f>_xlfn.XLOOKUP(C6, 'Control Panel'!$B$4:$B$8,'Control Panel'!$C$4:$C$8,"0")</f>
        <v>1.25</v>
      </c>
      <c r="E6">
        <f>_xlfn.XLOOKUP(B6, 'Control Panel'!$B$11:$B$17,'Control Panel'!$C$11:$C$17,"0")</f>
        <v>1.05</v>
      </c>
      <c r="G6" s="9" t="str">
        <f>_xlfn.XLOOKUP(F6, 'Control Panel'!$B$20:$B$26,'Control Panel'!$C$20:$C$26,"0")</f>
        <v>0</v>
      </c>
      <c r="H6">
        <v>0</v>
      </c>
      <c r="I6">
        <f t="shared" si="0"/>
        <v>1.3125</v>
      </c>
      <c r="J6">
        <f>MAX(300,SUM('Control Panel'!$B$1*I6))</f>
        <v>393.75</v>
      </c>
    </row>
    <row r="7" spans="1:17" s="18" customFormat="1" x14ac:dyDescent="0.25">
      <c r="A7" s="15">
        <v>46027</v>
      </c>
      <c r="B7" s="16" t="s">
        <v>11</v>
      </c>
      <c r="C7" s="17" t="s">
        <v>6</v>
      </c>
      <c r="D7">
        <f>_xlfn.XLOOKUP(C7, 'Control Panel'!$B$4:$B$8,'Control Panel'!$C$4:$C$8,"0")</f>
        <v>1.25</v>
      </c>
      <c r="E7">
        <f>_xlfn.XLOOKUP(B7, 'Control Panel'!$B$11:$B$17,'Control Panel'!$C$11:$C$17,"0")</f>
        <v>0.95</v>
      </c>
      <c r="G7" s="17" t="str">
        <f>_xlfn.XLOOKUP(F7, 'Control Panel'!$B$20:$B$26,'Control Panel'!$C$20:$C$26,"0")</f>
        <v>0</v>
      </c>
      <c r="H7" s="18">
        <v>0</v>
      </c>
      <c r="I7" s="18">
        <f t="shared" si="0"/>
        <v>1.1875</v>
      </c>
      <c r="J7" s="18">
        <f>MAX(300,SUM('Control Panel'!$B$1*I7))</f>
        <v>356.25</v>
      </c>
    </row>
    <row r="8" spans="1:17" s="18" customFormat="1" x14ac:dyDescent="0.25">
      <c r="A8" s="15">
        <v>46028</v>
      </c>
      <c r="B8" s="16" t="s">
        <v>12</v>
      </c>
      <c r="C8" s="17" t="s">
        <v>6</v>
      </c>
      <c r="D8">
        <f>_xlfn.XLOOKUP(C8, 'Control Panel'!$B$4:$B$8,'Control Panel'!$C$4:$C$8,"0")</f>
        <v>1.25</v>
      </c>
      <c r="E8">
        <f>_xlfn.XLOOKUP(B8, 'Control Panel'!$B$11:$B$17,'Control Panel'!$C$11:$C$17,"0")</f>
        <v>0.95</v>
      </c>
      <c r="G8" s="17" t="str">
        <f>_xlfn.XLOOKUP(F8, 'Control Panel'!$B$20:$B$26,'Control Panel'!$C$20:$C$26,"0")</f>
        <v>0</v>
      </c>
      <c r="H8" s="18">
        <v>0</v>
      </c>
      <c r="I8" s="18">
        <f t="shared" si="0"/>
        <v>1.1875</v>
      </c>
      <c r="J8" s="18">
        <f>MAX(300,SUM('Control Panel'!$B$1*I8))</f>
        <v>356.25</v>
      </c>
    </row>
    <row r="9" spans="1:17" s="18" customFormat="1" x14ac:dyDescent="0.25">
      <c r="A9" s="15">
        <v>46029</v>
      </c>
      <c r="B9" s="16" t="s">
        <v>13</v>
      </c>
      <c r="C9" s="17" t="s">
        <v>6</v>
      </c>
      <c r="D9">
        <f>_xlfn.XLOOKUP(C9, 'Control Panel'!$B$4:$B$8,'Control Panel'!$C$4:$C$8,"0")</f>
        <v>1.25</v>
      </c>
      <c r="E9">
        <f>_xlfn.XLOOKUP(B9, 'Control Panel'!$B$11:$B$17,'Control Panel'!$C$11:$C$17,"0")</f>
        <v>0.95</v>
      </c>
      <c r="G9" s="17" t="str">
        <f>_xlfn.XLOOKUP(F9, 'Control Panel'!$B$20:$B$26,'Control Panel'!$C$20:$C$26,"0")</f>
        <v>0</v>
      </c>
      <c r="H9" s="18">
        <v>0</v>
      </c>
      <c r="I9" s="18">
        <f t="shared" si="0"/>
        <v>1.1875</v>
      </c>
      <c r="J9" s="18">
        <f>MAX(300,SUM('Control Panel'!$B$1*I9))</f>
        <v>356.25</v>
      </c>
    </row>
    <row r="10" spans="1:17" s="18" customFormat="1" x14ac:dyDescent="0.25">
      <c r="A10" s="15">
        <v>46030</v>
      </c>
      <c r="B10" s="16" t="s">
        <v>5</v>
      </c>
      <c r="C10" s="17" t="s">
        <v>6</v>
      </c>
      <c r="D10">
        <f>_xlfn.XLOOKUP(C10, 'Control Panel'!$B$4:$B$8,'Control Panel'!$C$4:$C$8,"0")</f>
        <v>1.25</v>
      </c>
      <c r="E10">
        <f>_xlfn.XLOOKUP(B10, 'Control Panel'!$B$11:$B$17,'Control Panel'!$C$11:$C$17,"0")</f>
        <v>0.95</v>
      </c>
      <c r="G10" s="17" t="str">
        <f>_xlfn.XLOOKUP(F10, 'Control Panel'!$B$20:$B$26,'Control Panel'!$C$20:$C$26,"0")</f>
        <v>0</v>
      </c>
      <c r="H10" s="18">
        <v>0</v>
      </c>
      <c r="I10" s="18">
        <f t="shared" si="0"/>
        <v>1.1875</v>
      </c>
      <c r="J10" s="18">
        <f>MAX(300,SUM('Control Panel'!$B$1*I10))</f>
        <v>356.25</v>
      </c>
    </row>
    <row r="11" spans="1:17" s="18" customFormat="1" x14ac:dyDescent="0.25">
      <c r="A11" s="15">
        <v>46031</v>
      </c>
      <c r="B11" s="16" t="s">
        <v>8</v>
      </c>
      <c r="C11" s="17" t="s">
        <v>6</v>
      </c>
      <c r="D11">
        <f>_xlfn.XLOOKUP(C11, 'Control Panel'!$B$4:$B$8,'Control Panel'!$C$4:$C$8,"0")</f>
        <v>1.25</v>
      </c>
      <c r="E11">
        <f>_xlfn.XLOOKUP(B11, 'Control Panel'!$B$11:$B$17,'Control Panel'!$C$11:$C$17,"0")</f>
        <v>1.1000000000000001</v>
      </c>
      <c r="G11" s="17" t="str">
        <f>_xlfn.XLOOKUP(F11, 'Control Panel'!$B$20:$B$26,'Control Panel'!$C$20:$C$26,"0")</f>
        <v>0</v>
      </c>
      <c r="H11" s="18">
        <v>0</v>
      </c>
      <c r="I11" s="18">
        <f t="shared" si="0"/>
        <v>1.375</v>
      </c>
      <c r="J11" s="18">
        <f>MAX(300,SUM('Control Panel'!$B$1*I11))</f>
        <v>412.5</v>
      </c>
    </row>
    <row r="12" spans="1:17" s="18" customFormat="1" x14ac:dyDescent="0.25">
      <c r="A12" s="15">
        <v>46032</v>
      </c>
      <c r="B12" s="16" t="s">
        <v>9</v>
      </c>
      <c r="C12" s="17" t="s">
        <v>6</v>
      </c>
      <c r="D12">
        <f>_xlfn.XLOOKUP(C12, 'Control Panel'!$B$4:$B$8,'Control Panel'!$C$4:$C$8,"0")</f>
        <v>1.25</v>
      </c>
      <c r="E12">
        <f>_xlfn.XLOOKUP(B12, 'Control Panel'!$B$11:$B$17,'Control Panel'!$C$11:$C$17,"0")</f>
        <v>1.25</v>
      </c>
      <c r="G12" s="17" t="str">
        <f>_xlfn.XLOOKUP(F12, 'Control Panel'!$B$20:$B$26,'Control Panel'!$C$20:$C$26,"0")</f>
        <v>0</v>
      </c>
      <c r="H12" s="18">
        <v>0</v>
      </c>
      <c r="I12" s="18">
        <f t="shared" si="0"/>
        <v>1.5625</v>
      </c>
      <c r="J12" s="18">
        <f>MAX(300,SUM('Control Panel'!$B$1*I12))</f>
        <v>468.75</v>
      </c>
    </row>
    <row r="13" spans="1:17" s="18" customFormat="1" x14ac:dyDescent="0.25">
      <c r="A13" s="15">
        <v>46033</v>
      </c>
      <c r="B13" s="16" t="s">
        <v>10</v>
      </c>
      <c r="C13" s="17" t="s">
        <v>6</v>
      </c>
      <c r="D13">
        <f>_xlfn.XLOOKUP(C13, 'Control Panel'!$B$4:$B$8,'Control Panel'!$C$4:$C$8,"0")</f>
        <v>1.25</v>
      </c>
      <c r="E13">
        <f>_xlfn.XLOOKUP(B13, 'Control Panel'!$B$11:$B$17,'Control Panel'!$C$11:$C$17,"0")</f>
        <v>1.05</v>
      </c>
      <c r="G13" s="17" t="str">
        <f>_xlfn.XLOOKUP(F13, 'Control Panel'!$B$20:$B$26,'Control Panel'!$C$20:$C$26,"0")</f>
        <v>0</v>
      </c>
      <c r="H13" s="18">
        <v>0</v>
      </c>
      <c r="I13" s="18">
        <f t="shared" si="0"/>
        <v>1.3125</v>
      </c>
      <c r="J13" s="18">
        <f>MAX(300,SUM('Control Panel'!$B$1*I13))</f>
        <v>393.75</v>
      </c>
    </row>
    <row r="14" spans="1:17" x14ac:dyDescent="0.25">
      <c r="A14" s="5">
        <v>46034</v>
      </c>
      <c r="B14" s="7" t="s">
        <v>11</v>
      </c>
      <c r="C14" s="9" t="s">
        <v>6</v>
      </c>
      <c r="D14">
        <f>_xlfn.XLOOKUP(C14, 'Control Panel'!$B$4:$B$8,'Control Panel'!$C$4:$C$8,"0")</f>
        <v>1.25</v>
      </c>
      <c r="E14">
        <f>_xlfn.XLOOKUP(B14, 'Control Panel'!$B$11:$B$17,'Control Panel'!$C$11:$C$17,"0")</f>
        <v>0.95</v>
      </c>
      <c r="G14" s="9" t="str">
        <f>_xlfn.XLOOKUP(F14, 'Control Panel'!$B$20:$B$26,'Control Panel'!$C$20:$C$26,"0")</f>
        <v>0</v>
      </c>
      <c r="H14">
        <v>0</v>
      </c>
      <c r="I14">
        <f t="shared" si="0"/>
        <v>1.1875</v>
      </c>
      <c r="J14">
        <f>MAX(300,SUM('Control Panel'!$B$1*I14))</f>
        <v>356.25</v>
      </c>
    </row>
    <row r="15" spans="1:17" x14ac:dyDescent="0.25">
      <c r="A15" s="5">
        <v>46035</v>
      </c>
      <c r="B15" s="7" t="s">
        <v>12</v>
      </c>
      <c r="C15" s="9" t="s">
        <v>6</v>
      </c>
      <c r="D15">
        <f>_xlfn.XLOOKUP(C15, 'Control Panel'!$B$4:$B$8,'Control Panel'!$C$4:$C$8,"0")</f>
        <v>1.25</v>
      </c>
      <c r="E15">
        <f>_xlfn.XLOOKUP(B15, 'Control Panel'!$B$11:$B$17,'Control Panel'!$C$11:$C$17,"0")</f>
        <v>0.95</v>
      </c>
      <c r="G15" s="9" t="str">
        <f>_xlfn.XLOOKUP(F15, 'Control Panel'!$B$20:$B$26,'Control Panel'!$C$20:$C$26,"0")</f>
        <v>0</v>
      </c>
      <c r="H15">
        <v>0</v>
      </c>
      <c r="I15">
        <f t="shared" si="0"/>
        <v>1.1875</v>
      </c>
      <c r="J15">
        <f>MAX(300,SUM('Control Panel'!$B$1*I15))</f>
        <v>356.25</v>
      </c>
    </row>
    <row r="16" spans="1:17" x14ac:dyDescent="0.25">
      <c r="A16" s="5">
        <v>46036</v>
      </c>
      <c r="B16" s="7" t="s">
        <v>13</v>
      </c>
      <c r="C16" s="9" t="s">
        <v>6</v>
      </c>
      <c r="D16">
        <f>_xlfn.XLOOKUP(C16, 'Control Panel'!$B$4:$B$8,'Control Panel'!$C$4:$C$8,"0")</f>
        <v>1.25</v>
      </c>
      <c r="E16">
        <f>_xlfn.XLOOKUP(B16, 'Control Panel'!$B$11:$B$17,'Control Panel'!$C$11:$C$17,"0")</f>
        <v>0.95</v>
      </c>
      <c r="G16" s="9" t="str">
        <f>_xlfn.XLOOKUP(F16, 'Control Panel'!$B$20:$B$26,'Control Panel'!$C$20:$C$26,"0")</f>
        <v>0</v>
      </c>
      <c r="H16">
        <v>0</v>
      </c>
      <c r="I16">
        <f t="shared" si="0"/>
        <v>1.1875</v>
      </c>
      <c r="J16">
        <f>MAX(300,SUM('Control Panel'!$B$1*I16))</f>
        <v>356.25</v>
      </c>
    </row>
    <row r="17" spans="1:10" x14ac:dyDescent="0.25">
      <c r="A17" s="5">
        <v>46037</v>
      </c>
      <c r="B17" s="7" t="s">
        <v>5</v>
      </c>
      <c r="C17" s="9" t="s">
        <v>6</v>
      </c>
      <c r="D17">
        <f>_xlfn.XLOOKUP(C17, 'Control Panel'!$B$4:$B$8,'Control Panel'!$C$4:$C$8,"0")</f>
        <v>1.25</v>
      </c>
      <c r="E17">
        <f>_xlfn.XLOOKUP(B17, 'Control Panel'!$B$11:$B$17,'Control Panel'!$C$11:$C$17,"0")</f>
        <v>0.95</v>
      </c>
      <c r="G17" s="9" t="str">
        <f>_xlfn.XLOOKUP(F17, 'Control Panel'!$B$20:$B$26,'Control Panel'!$C$20:$C$26,"0")</f>
        <v>0</v>
      </c>
      <c r="H17">
        <v>0</v>
      </c>
      <c r="I17">
        <f t="shared" si="0"/>
        <v>1.1875</v>
      </c>
      <c r="J17">
        <f>MAX(300,SUM('Control Panel'!$B$1*I17))</f>
        <v>356.25</v>
      </c>
    </row>
    <row r="18" spans="1:10" x14ac:dyDescent="0.25">
      <c r="A18" s="5">
        <v>46038</v>
      </c>
      <c r="B18" s="7" t="s">
        <v>8</v>
      </c>
      <c r="C18" s="9" t="s">
        <v>6</v>
      </c>
      <c r="D18">
        <f>_xlfn.XLOOKUP(C18, 'Control Panel'!$B$4:$B$8,'Control Panel'!$C$4:$C$8,"0")</f>
        <v>1.25</v>
      </c>
      <c r="E18">
        <f>_xlfn.XLOOKUP(B18, 'Control Panel'!$B$11:$B$17,'Control Panel'!$C$11:$C$17,"0")</f>
        <v>1.1000000000000001</v>
      </c>
      <c r="G18" s="9" t="str">
        <f>_xlfn.XLOOKUP(F18, 'Control Panel'!$B$20:$B$26,'Control Panel'!$C$20:$C$26,"0")</f>
        <v>0</v>
      </c>
      <c r="H18">
        <v>0</v>
      </c>
      <c r="I18">
        <f t="shared" si="0"/>
        <v>1.375</v>
      </c>
      <c r="J18">
        <f>MAX(300,SUM('Control Panel'!$B$1*I18))</f>
        <v>412.5</v>
      </c>
    </row>
    <row r="19" spans="1:10" x14ac:dyDescent="0.25">
      <c r="A19" s="5">
        <v>46039</v>
      </c>
      <c r="B19" s="7" t="s">
        <v>9</v>
      </c>
      <c r="C19" s="9" t="s">
        <v>6</v>
      </c>
      <c r="D19">
        <f>_xlfn.XLOOKUP(C19, 'Control Panel'!$B$4:$B$8,'Control Panel'!$C$4:$C$8,"0")</f>
        <v>1.25</v>
      </c>
      <c r="E19">
        <f>_xlfn.XLOOKUP(B19, 'Control Panel'!$B$11:$B$17,'Control Panel'!$C$11:$C$17,"0")</f>
        <v>1.25</v>
      </c>
      <c r="G19" s="9" t="str">
        <f>_xlfn.XLOOKUP(F19, 'Control Panel'!$B$20:$B$26,'Control Panel'!$C$20:$C$26,"0")</f>
        <v>0</v>
      </c>
      <c r="H19">
        <v>0</v>
      </c>
      <c r="I19">
        <f t="shared" si="0"/>
        <v>1.5625</v>
      </c>
      <c r="J19">
        <f>MAX(300,SUM('Control Panel'!$B$1*I19))</f>
        <v>468.75</v>
      </c>
    </row>
    <row r="20" spans="1:10" x14ac:dyDescent="0.25">
      <c r="A20" s="5">
        <v>46040</v>
      </c>
      <c r="B20" s="7" t="s">
        <v>10</v>
      </c>
      <c r="C20" s="9" t="s">
        <v>6</v>
      </c>
      <c r="D20">
        <f>_xlfn.XLOOKUP(C20, 'Control Panel'!$B$4:$B$8,'Control Panel'!$C$4:$C$8,"0")</f>
        <v>1.25</v>
      </c>
      <c r="E20">
        <f>_xlfn.XLOOKUP(B20, 'Control Panel'!$B$11:$B$17,'Control Panel'!$C$11:$C$17,"0")</f>
        <v>1.05</v>
      </c>
      <c r="G20" s="9" t="str">
        <f>_xlfn.XLOOKUP(F20, 'Control Panel'!$B$20:$B$26,'Control Panel'!$C$20:$C$26,"0")</f>
        <v>0</v>
      </c>
      <c r="H20">
        <v>0</v>
      </c>
      <c r="I20">
        <f t="shared" si="0"/>
        <v>1.3125</v>
      </c>
      <c r="J20">
        <f>MAX(300,SUM('Control Panel'!$B$1*I20))</f>
        <v>393.75</v>
      </c>
    </row>
    <row r="21" spans="1:10" s="18" customFormat="1" x14ac:dyDescent="0.25">
      <c r="A21" s="15">
        <v>46041</v>
      </c>
      <c r="B21" s="16" t="s">
        <v>11</v>
      </c>
      <c r="C21" s="17" t="s">
        <v>6</v>
      </c>
      <c r="D21">
        <f>_xlfn.XLOOKUP(C21, 'Control Panel'!$B$4:$B$8,'Control Panel'!$C$4:$C$8,"0")</f>
        <v>1.25</v>
      </c>
      <c r="E21">
        <f>_xlfn.XLOOKUP(B21, 'Control Panel'!$B$11:$B$17,'Control Panel'!$C$11:$C$17,"0")</f>
        <v>0.95</v>
      </c>
      <c r="G21" s="17" t="str">
        <f>_xlfn.XLOOKUP(F21, 'Control Panel'!$B$20:$B$26,'Control Panel'!$C$20:$C$26,"0")</f>
        <v>0</v>
      </c>
      <c r="H21" s="18">
        <v>0</v>
      </c>
      <c r="I21" s="18">
        <f t="shared" si="0"/>
        <v>1.1875</v>
      </c>
      <c r="J21" s="18">
        <f>MAX(300,SUM('Control Panel'!$B$1*I21))</f>
        <v>356.25</v>
      </c>
    </row>
    <row r="22" spans="1:10" s="18" customFormat="1" x14ac:dyDescent="0.25">
      <c r="A22" s="15">
        <v>46042</v>
      </c>
      <c r="B22" s="16" t="s">
        <v>12</v>
      </c>
      <c r="C22" s="17" t="s">
        <v>6</v>
      </c>
      <c r="D22">
        <f>_xlfn.XLOOKUP(C22, 'Control Panel'!$B$4:$B$8,'Control Panel'!$C$4:$C$8,"0")</f>
        <v>1.25</v>
      </c>
      <c r="E22">
        <f>_xlfn.XLOOKUP(B22, 'Control Panel'!$B$11:$B$17,'Control Panel'!$C$11:$C$17,"0")</f>
        <v>0.95</v>
      </c>
      <c r="G22" s="17" t="str">
        <f>_xlfn.XLOOKUP(F22, 'Control Panel'!$B$20:$B$26,'Control Panel'!$C$20:$C$26,"0")</f>
        <v>0</v>
      </c>
      <c r="H22" s="18">
        <v>0</v>
      </c>
      <c r="I22" s="18">
        <f t="shared" si="0"/>
        <v>1.1875</v>
      </c>
      <c r="J22" s="18">
        <f>MAX(300,SUM('Control Panel'!$B$1*I22))</f>
        <v>356.25</v>
      </c>
    </row>
    <row r="23" spans="1:10" s="18" customFormat="1" x14ac:dyDescent="0.25">
      <c r="A23" s="15">
        <v>46043</v>
      </c>
      <c r="B23" s="16" t="s">
        <v>13</v>
      </c>
      <c r="C23" s="17" t="s">
        <v>6</v>
      </c>
      <c r="D23">
        <f>_xlfn.XLOOKUP(C23, 'Control Panel'!$B$4:$B$8,'Control Panel'!$C$4:$C$8,"0")</f>
        <v>1.25</v>
      </c>
      <c r="E23">
        <f>_xlfn.XLOOKUP(B23, 'Control Panel'!$B$11:$B$17,'Control Panel'!$C$11:$C$17,"0")</f>
        <v>0.95</v>
      </c>
      <c r="G23" s="17" t="str">
        <f>_xlfn.XLOOKUP(F23, 'Control Panel'!$B$20:$B$26,'Control Panel'!$C$20:$C$26,"0")</f>
        <v>0</v>
      </c>
      <c r="H23" s="18">
        <v>0</v>
      </c>
      <c r="I23" s="18">
        <f t="shared" si="0"/>
        <v>1.1875</v>
      </c>
      <c r="J23" s="18">
        <f>MAX(300,SUM('Control Panel'!$B$1*I23))</f>
        <v>356.25</v>
      </c>
    </row>
    <row r="24" spans="1:10" s="18" customFormat="1" x14ac:dyDescent="0.25">
      <c r="A24" s="15">
        <v>46044</v>
      </c>
      <c r="B24" s="16" t="s">
        <v>5</v>
      </c>
      <c r="C24" s="17" t="s">
        <v>6</v>
      </c>
      <c r="D24">
        <f>_xlfn.XLOOKUP(C24, 'Control Panel'!$B$4:$B$8,'Control Panel'!$C$4:$C$8,"0")</f>
        <v>1.25</v>
      </c>
      <c r="E24">
        <f>_xlfn.XLOOKUP(B24, 'Control Panel'!$B$11:$B$17,'Control Panel'!$C$11:$C$17,"0")</f>
        <v>0.95</v>
      </c>
      <c r="G24" s="17" t="str">
        <f>_xlfn.XLOOKUP(F24, 'Control Panel'!$B$20:$B$26,'Control Panel'!$C$20:$C$26,"0")</f>
        <v>0</v>
      </c>
      <c r="H24" s="18">
        <v>0</v>
      </c>
      <c r="I24" s="18">
        <f t="shared" si="0"/>
        <v>1.1875</v>
      </c>
      <c r="J24" s="18">
        <f>MAX(300,SUM('Control Panel'!$B$1*I24))</f>
        <v>356.25</v>
      </c>
    </row>
    <row r="25" spans="1:10" s="18" customFormat="1" x14ac:dyDescent="0.25">
      <c r="A25" s="15">
        <v>46045</v>
      </c>
      <c r="B25" s="16" t="s">
        <v>8</v>
      </c>
      <c r="C25" s="17" t="s">
        <v>6</v>
      </c>
      <c r="D25">
        <f>_xlfn.XLOOKUP(C25, 'Control Panel'!$B$4:$B$8,'Control Panel'!$C$4:$C$8,"0")</f>
        <v>1.25</v>
      </c>
      <c r="E25">
        <f>_xlfn.XLOOKUP(B25, 'Control Panel'!$B$11:$B$17,'Control Panel'!$C$11:$C$17,"0")</f>
        <v>1.1000000000000001</v>
      </c>
      <c r="G25" s="17" t="str">
        <f>_xlfn.XLOOKUP(F25, 'Control Panel'!$B$20:$B$26,'Control Panel'!$C$20:$C$26,"0")</f>
        <v>0</v>
      </c>
      <c r="H25" s="18">
        <v>0</v>
      </c>
      <c r="I25" s="18">
        <f t="shared" si="0"/>
        <v>1.375</v>
      </c>
      <c r="J25" s="18">
        <f>MAX(300,SUM('Control Panel'!$B$1*I25))</f>
        <v>412.5</v>
      </c>
    </row>
    <row r="26" spans="1:10" s="18" customFormat="1" x14ac:dyDescent="0.25">
      <c r="A26" s="15">
        <v>46046</v>
      </c>
      <c r="B26" s="16" t="s">
        <v>9</v>
      </c>
      <c r="C26" s="17" t="s">
        <v>6</v>
      </c>
      <c r="D26">
        <f>_xlfn.XLOOKUP(C26, 'Control Panel'!$B$4:$B$8,'Control Panel'!$C$4:$C$8,"0")</f>
        <v>1.25</v>
      </c>
      <c r="E26">
        <f>_xlfn.XLOOKUP(B26, 'Control Panel'!$B$11:$B$17,'Control Panel'!$C$11:$C$17,"0")</f>
        <v>1.25</v>
      </c>
      <c r="G26" s="17" t="str">
        <f>_xlfn.XLOOKUP(F26, 'Control Panel'!$B$20:$B$26,'Control Panel'!$C$20:$C$26,"0")</f>
        <v>0</v>
      </c>
      <c r="H26" s="18">
        <v>0</v>
      </c>
      <c r="I26" s="18">
        <f t="shared" si="0"/>
        <v>1.5625</v>
      </c>
      <c r="J26" s="18">
        <f>MAX(300,SUM('Control Panel'!$B$1*I26))</f>
        <v>468.75</v>
      </c>
    </row>
    <row r="27" spans="1:10" s="18" customFormat="1" x14ac:dyDescent="0.25">
      <c r="A27" s="15">
        <v>46047</v>
      </c>
      <c r="B27" s="16" t="s">
        <v>10</v>
      </c>
      <c r="C27" s="17" t="s">
        <v>6</v>
      </c>
      <c r="D27">
        <f>_xlfn.XLOOKUP(C27, 'Control Panel'!$B$4:$B$8,'Control Panel'!$C$4:$C$8,"0")</f>
        <v>1.25</v>
      </c>
      <c r="E27">
        <f>_xlfn.XLOOKUP(B27, 'Control Panel'!$B$11:$B$17,'Control Panel'!$C$11:$C$17,"0")</f>
        <v>1.05</v>
      </c>
      <c r="G27" s="17" t="str">
        <f>_xlfn.XLOOKUP(F27, 'Control Panel'!$B$20:$B$26,'Control Panel'!$C$20:$C$26,"0")</f>
        <v>0</v>
      </c>
      <c r="H27" s="18">
        <v>0</v>
      </c>
      <c r="I27" s="18">
        <f t="shared" si="0"/>
        <v>1.3125</v>
      </c>
      <c r="J27" s="18">
        <f>MAX(300,SUM('Control Panel'!$B$1*I27))</f>
        <v>393.75</v>
      </c>
    </row>
    <row r="28" spans="1:10" x14ac:dyDescent="0.25">
      <c r="A28" s="5">
        <v>46048</v>
      </c>
      <c r="B28" s="7" t="s">
        <v>11</v>
      </c>
      <c r="C28" s="9" t="s">
        <v>6</v>
      </c>
      <c r="D28">
        <f>_xlfn.XLOOKUP(C28, 'Control Panel'!$B$4:$B$8,'Control Panel'!$C$4:$C$8,"0")</f>
        <v>1.25</v>
      </c>
      <c r="E28">
        <f>_xlfn.XLOOKUP(B28, 'Control Panel'!$B$11:$B$17,'Control Panel'!$C$11:$C$17,"0")</f>
        <v>0.95</v>
      </c>
      <c r="G28" s="9" t="str">
        <f>_xlfn.XLOOKUP(F28, 'Control Panel'!$B$20:$B$26,'Control Panel'!$C$20:$C$26,"0")</f>
        <v>0</v>
      </c>
      <c r="H28">
        <v>0</v>
      </c>
      <c r="I28">
        <f t="shared" si="0"/>
        <v>1.1875</v>
      </c>
      <c r="J28">
        <f>MAX(300,SUM('Control Panel'!$B$1*I28))</f>
        <v>356.25</v>
      </c>
    </row>
    <row r="29" spans="1:10" x14ac:dyDescent="0.25">
      <c r="A29" s="5">
        <v>46049</v>
      </c>
      <c r="B29" s="7" t="s">
        <v>12</v>
      </c>
      <c r="C29" s="9" t="s">
        <v>6</v>
      </c>
      <c r="D29">
        <f>_xlfn.XLOOKUP(C29, 'Control Panel'!$B$4:$B$8,'Control Panel'!$C$4:$C$8,"0")</f>
        <v>1.25</v>
      </c>
      <c r="E29">
        <f>_xlfn.XLOOKUP(B29, 'Control Panel'!$B$11:$B$17,'Control Panel'!$C$11:$C$17,"0")</f>
        <v>0.95</v>
      </c>
      <c r="G29" s="9" t="str">
        <f>_xlfn.XLOOKUP(F29, 'Control Panel'!$B$20:$B$26,'Control Panel'!$C$20:$C$26,"0")</f>
        <v>0</v>
      </c>
      <c r="H29">
        <v>0</v>
      </c>
      <c r="I29">
        <f t="shared" si="0"/>
        <v>1.1875</v>
      </c>
      <c r="J29">
        <f>MAX(300,SUM('Control Panel'!$B$1*I29))</f>
        <v>356.25</v>
      </c>
    </row>
    <row r="30" spans="1:10" x14ac:dyDescent="0.25">
      <c r="A30" s="5">
        <v>46050</v>
      </c>
      <c r="B30" s="7" t="s">
        <v>13</v>
      </c>
      <c r="C30" s="9" t="s">
        <v>6</v>
      </c>
      <c r="D30">
        <f>_xlfn.XLOOKUP(C30, 'Control Panel'!$B$4:$B$8,'Control Panel'!$C$4:$C$8,"0")</f>
        <v>1.25</v>
      </c>
      <c r="E30">
        <f>_xlfn.XLOOKUP(B30, 'Control Panel'!$B$11:$B$17,'Control Panel'!$C$11:$C$17,"0")</f>
        <v>0.95</v>
      </c>
      <c r="G30" s="9" t="str">
        <f>_xlfn.XLOOKUP(F30, 'Control Panel'!$B$20:$B$26,'Control Panel'!$C$20:$C$26,"0")</f>
        <v>0</v>
      </c>
      <c r="H30">
        <v>0</v>
      </c>
      <c r="I30">
        <f t="shared" si="0"/>
        <v>1.1875</v>
      </c>
      <c r="J30">
        <f>MAX(300,SUM('Control Panel'!$B$1*I30))</f>
        <v>356.25</v>
      </c>
    </row>
    <row r="31" spans="1:10" x14ac:dyDescent="0.25">
      <c r="A31" s="5">
        <v>46051</v>
      </c>
      <c r="B31" s="7" t="s">
        <v>5</v>
      </c>
      <c r="C31" s="9" t="s">
        <v>6</v>
      </c>
      <c r="D31">
        <f>_xlfn.XLOOKUP(C31, 'Control Panel'!$B$4:$B$8,'Control Panel'!$C$4:$C$8,"0")</f>
        <v>1.25</v>
      </c>
      <c r="E31">
        <f>_xlfn.XLOOKUP(B31, 'Control Panel'!$B$11:$B$17,'Control Panel'!$C$11:$C$17,"0")</f>
        <v>0.95</v>
      </c>
      <c r="G31" s="9" t="str">
        <f>_xlfn.XLOOKUP(F31, 'Control Panel'!$B$20:$B$26,'Control Panel'!$C$20:$C$26,"0")</f>
        <v>0</v>
      </c>
      <c r="H31">
        <v>0</v>
      </c>
      <c r="I31">
        <f t="shared" si="0"/>
        <v>1.1875</v>
      </c>
      <c r="J31">
        <f>MAX(300,SUM('Control Panel'!$B$1*I31))</f>
        <v>356.25</v>
      </c>
    </row>
    <row r="32" spans="1:10" x14ac:dyDescent="0.25">
      <c r="A32" s="5">
        <v>46052</v>
      </c>
      <c r="B32" s="7" t="s">
        <v>8</v>
      </c>
      <c r="C32" s="9" t="s">
        <v>6</v>
      </c>
      <c r="D32">
        <f>_xlfn.XLOOKUP(C32, 'Control Panel'!$B$4:$B$8,'Control Panel'!$C$4:$C$8,"0")</f>
        <v>1.25</v>
      </c>
      <c r="E32">
        <f>_xlfn.XLOOKUP(B32, 'Control Panel'!$B$11:$B$17,'Control Panel'!$C$11:$C$17,"0")</f>
        <v>1.1000000000000001</v>
      </c>
      <c r="G32" s="9" t="str">
        <f>_xlfn.XLOOKUP(F32, 'Control Panel'!$B$20:$B$26,'Control Panel'!$C$20:$C$26,"0")</f>
        <v>0</v>
      </c>
      <c r="H32">
        <v>0</v>
      </c>
      <c r="I32">
        <f t="shared" si="0"/>
        <v>1.375</v>
      </c>
      <c r="J32">
        <f>MAX(300,SUM('Control Panel'!$B$1*I32))</f>
        <v>412.5</v>
      </c>
    </row>
    <row r="33" spans="1:10" x14ac:dyDescent="0.25">
      <c r="A33" s="5">
        <v>46053</v>
      </c>
      <c r="B33" s="7" t="s">
        <v>9</v>
      </c>
      <c r="C33" s="9" t="s">
        <v>6</v>
      </c>
      <c r="D33">
        <f>_xlfn.XLOOKUP(C33, 'Control Panel'!$B$4:$B$8,'Control Panel'!$C$4:$C$8,"0")</f>
        <v>1.25</v>
      </c>
      <c r="E33">
        <f>_xlfn.XLOOKUP(B33, 'Control Panel'!$B$11:$B$17,'Control Panel'!$C$11:$C$17,"0")</f>
        <v>1.25</v>
      </c>
      <c r="G33" s="9" t="str">
        <f>_xlfn.XLOOKUP(F33, 'Control Panel'!$B$20:$B$26,'Control Panel'!$C$20:$C$26,"0")</f>
        <v>0</v>
      </c>
      <c r="H33">
        <v>0</v>
      </c>
      <c r="I33">
        <f t="shared" si="0"/>
        <v>1.5625</v>
      </c>
      <c r="J33">
        <f>MAX(300,SUM('Control Panel'!$B$1*I33))</f>
        <v>468.75</v>
      </c>
    </row>
    <row r="34" spans="1:10" x14ac:dyDescent="0.25">
      <c r="A34" s="10" t="s">
        <v>33</v>
      </c>
      <c r="B34" s="13"/>
      <c r="C34" s="14"/>
      <c r="G34" s="9" t="str">
        <f>_xlfn.XLOOKUP(F34, 'Control Panel'!$B$20:$B$26,'Control Panel'!$C$20:$C$26,"0")</f>
        <v>0</v>
      </c>
    </row>
    <row r="35" spans="1:10" x14ac:dyDescent="0.25">
      <c r="A35" s="5">
        <v>46054</v>
      </c>
      <c r="B35" s="7" t="s">
        <v>10</v>
      </c>
      <c r="C35" s="9" t="s">
        <v>6</v>
      </c>
      <c r="D35">
        <f>_xlfn.XLOOKUP(C35, 'Control Panel'!$B$4:$B$8,'Control Panel'!$C$4:$C$8,"0")</f>
        <v>1.25</v>
      </c>
      <c r="E35">
        <f>_xlfn.XLOOKUP(B35, 'Control Panel'!$B$11:$B$17,'Control Panel'!$C$11:$C$17,"0")</f>
        <v>1.05</v>
      </c>
      <c r="G35" s="9" t="str">
        <f>_xlfn.XLOOKUP(F35, 'Control Panel'!$B$20:$B$26,'Control Panel'!$C$20:$C$26,"0")</f>
        <v>0</v>
      </c>
      <c r="H35">
        <v>0</v>
      </c>
      <c r="I35">
        <f t="shared" si="0"/>
        <v>1.3125</v>
      </c>
      <c r="J35">
        <f>MAX(300,SUM('Control Panel'!$B$1*I35))</f>
        <v>393.75</v>
      </c>
    </row>
    <row r="36" spans="1:10" s="18" customFormat="1" x14ac:dyDescent="0.25">
      <c r="A36" s="15">
        <v>46055</v>
      </c>
      <c r="B36" s="16" t="s">
        <v>11</v>
      </c>
      <c r="C36" s="17" t="s">
        <v>6</v>
      </c>
      <c r="D36">
        <f>_xlfn.XLOOKUP(C36, 'Control Panel'!$B$4:$B$8,'Control Panel'!$C$4:$C$8,"0")</f>
        <v>1.25</v>
      </c>
      <c r="E36">
        <f>_xlfn.XLOOKUP(B36, 'Control Panel'!$B$11:$B$17,'Control Panel'!$C$11:$C$17,"0")</f>
        <v>0.95</v>
      </c>
      <c r="G36" s="17" t="str">
        <f>_xlfn.XLOOKUP(F36, 'Control Panel'!$B$20:$B$26,'Control Panel'!$C$20:$C$26,"0")</f>
        <v>0</v>
      </c>
      <c r="H36" s="18">
        <v>0</v>
      </c>
      <c r="I36" s="18">
        <f t="shared" si="0"/>
        <v>1.1875</v>
      </c>
      <c r="J36" s="18">
        <f>MAX(300,SUM('Control Panel'!$B$1*I36))</f>
        <v>356.25</v>
      </c>
    </row>
    <row r="37" spans="1:10" s="18" customFormat="1" x14ac:dyDescent="0.25">
      <c r="A37" s="15">
        <v>46056</v>
      </c>
      <c r="B37" s="16" t="s">
        <v>12</v>
      </c>
      <c r="C37" s="17" t="s">
        <v>6</v>
      </c>
      <c r="D37">
        <f>_xlfn.XLOOKUP(C37, 'Control Panel'!$B$4:$B$8,'Control Panel'!$C$4:$C$8,"0")</f>
        <v>1.25</v>
      </c>
      <c r="E37">
        <f>_xlfn.XLOOKUP(B37, 'Control Panel'!$B$11:$B$17,'Control Panel'!$C$11:$C$17,"0")</f>
        <v>0.95</v>
      </c>
      <c r="G37" s="17" t="str">
        <f>_xlfn.XLOOKUP(F37, 'Control Panel'!$B$20:$B$26,'Control Panel'!$C$20:$C$26,"0")</f>
        <v>0</v>
      </c>
      <c r="H37" s="18">
        <v>0</v>
      </c>
      <c r="I37" s="18">
        <f t="shared" si="0"/>
        <v>1.1875</v>
      </c>
      <c r="J37" s="18">
        <f>MAX(300,SUM('Control Panel'!$B$1*I37))</f>
        <v>356.25</v>
      </c>
    </row>
    <row r="38" spans="1:10" s="18" customFormat="1" x14ac:dyDescent="0.25">
      <c r="A38" s="15">
        <v>46057</v>
      </c>
      <c r="B38" s="16" t="s">
        <v>13</v>
      </c>
      <c r="C38" s="17" t="s">
        <v>6</v>
      </c>
      <c r="D38">
        <f>_xlfn.XLOOKUP(C38, 'Control Panel'!$B$4:$B$8,'Control Panel'!$C$4:$C$8,"0")</f>
        <v>1.25</v>
      </c>
      <c r="E38">
        <f>_xlfn.XLOOKUP(B38, 'Control Panel'!$B$11:$B$17,'Control Panel'!$C$11:$C$17,"0")</f>
        <v>0.95</v>
      </c>
      <c r="G38" s="17" t="str">
        <f>_xlfn.XLOOKUP(F38, 'Control Panel'!$B$20:$B$26,'Control Panel'!$C$20:$C$26,"0")</f>
        <v>0</v>
      </c>
      <c r="H38" s="18">
        <v>0</v>
      </c>
      <c r="I38" s="18">
        <f t="shared" si="0"/>
        <v>1.1875</v>
      </c>
      <c r="J38" s="18">
        <f>MAX(300,SUM('Control Panel'!$B$1*I38))</f>
        <v>356.25</v>
      </c>
    </row>
    <row r="39" spans="1:10" s="18" customFormat="1" x14ac:dyDescent="0.25">
      <c r="A39" s="15">
        <v>46058</v>
      </c>
      <c r="B39" s="16" t="s">
        <v>5</v>
      </c>
      <c r="C39" s="17" t="s">
        <v>6</v>
      </c>
      <c r="D39">
        <f>_xlfn.XLOOKUP(C39, 'Control Panel'!$B$4:$B$8,'Control Panel'!$C$4:$C$8,"0")</f>
        <v>1.25</v>
      </c>
      <c r="E39">
        <f>_xlfn.XLOOKUP(B39, 'Control Panel'!$B$11:$B$17,'Control Panel'!$C$11:$C$17,"0")</f>
        <v>0.95</v>
      </c>
      <c r="G39" s="17" t="str">
        <f>_xlfn.XLOOKUP(F39, 'Control Panel'!$B$20:$B$26,'Control Panel'!$C$20:$C$26,"0")</f>
        <v>0</v>
      </c>
      <c r="H39" s="18">
        <v>0</v>
      </c>
      <c r="I39" s="18">
        <f t="shared" si="0"/>
        <v>1.1875</v>
      </c>
      <c r="J39" s="18">
        <f>MAX(300,SUM('Control Panel'!$B$1*I39))</f>
        <v>356.25</v>
      </c>
    </row>
    <row r="40" spans="1:10" s="18" customFormat="1" x14ac:dyDescent="0.25">
      <c r="A40" s="15">
        <v>46059</v>
      </c>
      <c r="B40" s="16" t="s">
        <v>8</v>
      </c>
      <c r="C40" s="17" t="s">
        <v>6</v>
      </c>
      <c r="D40">
        <f>_xlfn.XLOOKUP(C40, 'Control Panel'!$B$4:$B$8,'Control Panel'!$C$4:$C$8,"0")</f>
        <v>1.25</v>
      </c>
      <c r="E40">
        <f>_xlfn.XLOOKUP(B40, 'Control Panel'!$B$11:$B$17,'Control Panel'!$C$11:$C$17,"0")</f>
        <v>1.1000000000000001</v>
      </c>
      <c r="G40" s="17" t="str">
        <f>_xlfn.XLOOKUP(F40, 'Control Panel'!$B$20:$B$26,'Control Panel'!$C$20:$C$26,"0")</f>
        <v>0</v>
      </c>
      <c r="H40" s="18">
        <v>0</v>
      </c>
      <c r="I40" s="18">
        <f t="shared" si="0"/>
        <v>1.375</v>
      </c>
      <c r="J40" s="18">
        <f>MAX(300,SUM('Control Panel'!$B$1*I40))</f>
        <v>412.5</v>
      </c>
    </row>
    <row r="41" spans="1:10" s="18" customFormat="1" x14ac:dyDescent="0.25">
      <c r="A41" s="15">
        <v>46060</v>
      </c>
      <c r="B41" s="16" t="s">
        <v>9</v>
      </c>
      <c r="C41" s="17" t="s">
        <v>6</v>
      </c>
      <c r="D41">
        <f>_xlfn.XLOOKUP(C41, 'Control Panel'!$B$4:$B$8,'Control Panel'!$C$4:$C$8,"0")</f>
        <v>1.25</v>
      </c>
      <c r="E41">
        <f>_xlfn.XLOOKUP(B41, 'Control Panel'!$B$11:$B$17,'Control Panel'!$C$11:$C$17,"0")</f>
        <v>1.25</v>
      </c>
      <c r="G41" s="17" t="str">
        <f>_xlfn.XLOOKUP(F41, 'Control Panel'!$B$20:$B$26,'Control Panel'!$C$20:$C$26,"0")</f>
        <v>0</v>
      </c>
      <c r="H41" s="18">
        <v>0</v>
      </c>
      <c r="I41" s="18">
        <f t="shared" si="0"/>
        <v>1.5625</v>
      </c>
      <c r="J41" s="18">
        <f>MAX(300,SUM('Control Panel'!$B$1*I41))</f>
        <v>468.75</v>
      </c>
    </row>
    <row r="42" spans="1:10" s="18" customFormat="1" x14ac:dyDescent="0.25">
      <c r="A42" s="15">
        <v>46061</v>
      </c>
      <c r="B42" s="16" t="s">
        <v>10</v>
      </c>
      <c r="C42" s="17" t="s">
        <v>6</v>
      </c>
      <c r="D42">
        <f>_xlfn.XLOOKUP(C42, 'Control Panel'!$B$4:$B$8,'Control Panel'!$C$4:$C$8,"0")</f>
        <v>1.25</v>
      </c>
      <c r="E42">
        <f>_xlfn.XLOOKUP(B42, 'Control Panel'!$B$11:$B$17,'Control Panel'!$C$11:$C$17,"0")</f>
        <v>1.05</v>
      </c>
      <c r="G42" s="17" t="str">
        <f>_xlfn.XLOOKUP(F42, 'Control Panel'!$B$20:$B$26,'Control Panel'!$C$20:$C$26,"0")</f>
        <v>0</v>
      </c>
      <c r="H42" s="18">
        <v>0</v>
      </c>
      <c r="I42" s="18">
        <f t="shared" si="0"/>
        <v>1.3125</v>
      </c>
      <c r="J42" s="18">
        <f>MAX(300,SUM('Control Panel'!$B$1*I42))</f>
        <v>393.75</v>
      </c>
    </row>
    <row r="43" spans="1:10" x14ac:dyDescent="0.25">
      <c r="A43" s="5">
        <v>46062</v>
      </c>
      <c r="B43" s="7" t="s">
        <v>11</v>
      </c>
      <c r="C43" s="9" t="s">
        <v>6</v>
      </c>
      <c r="D43">
        <f>_xlfn.XLOOKUP(C43, 'Control Panel'!$B$4:$B$8,'Control Panel'!$C$4:$C$8,"0")</f>
        <v>1.25</v>
      </c>
      <c r="E43">
        <f>_xlfn.XLOOKUP(B43, 'Control Panel'!$B$11:$B$17,'Control Panel'!$C$11:$C$17,"0")</f>
        <v>0.95</v>
      </c>
      <c r="G43" s="9" t="str">
        <f>_xlfn.XLOOKUP(F43, 'Control Panel'!$B$20:$B$26,'Control Panel'!$C$20:$C$26,"0")</f>
        <v>0</v>
      </c>
      <c r="H43">
        <v>0</v>
      </c>
      <c r="I43">
        <f t="shared" si="0"/>
        <v>1.1875</v>
      </c>
      <c r="J43">
        <f>MAX(300,SUM('Control Panel'!$B$1*I43))</f>
        <v>356.25</v>
      </c>
    </row>
    <row r="44" spans="1:10" x14ac:dyDescent="0.25">
      <c r="A44" s="5">
        <v>46063</v>
      </c>
      <c r="B44" s="7" t="s">
        <v>12</v>
      </c>
      <c r="C44" s="9" t="s">
        <v>6</v>
      </c>
      <c r="D44">
        <f>_xlfn.XLOOKUP(C44, 'Control Panel'!$B$4:$B$8,'Control Panel'!$C$4:$C$8,"0")</f>
        <v>1.25</v>
      </c>
      <c r="E44">
        <f>_xlfn.XLOOKUP(B44, 'Control Panel'!$B$11:$B$17,'Control Panel'!$C$11:$C$17,"0")</f>
        <v>0.95</v>
      </c>
      <c r="G44" s="9" t="str">
        <f>_xlfn.XLOOKUP(F44, 'Control Panel'!$B$20:$B$26,'Control Panel'!$C$20:$C$26,"0")</f>
        <v>0</v>
      </c>
      <c r="H44">
        <v>0</v>
      </c>
      <c r="I44">
        <f t="shared" si="0"/>
        <v>1.1875</v>
      </c>
      <c r="J44">
        <f>MAX(300,SUM('Control Panel'!$B$1*I44))</f>
        <v>356.25</v>
      </c>
    </row>
    <row r="45" spans="1:10" x14ac:dyDescent="0.25">
      <c r="A45" s="5">
        <v>46064</v>
      </c>
      <c r="B45" s="7" t="s">
        <v>13</v>
      </c>
      <c r="C45" s="9" t="s">
        <v>6</v>
      </c>
      <c r="D45">
        <f>_xlfn.XLOOKUP(C45, 'Control Panel'!$B$4:$B$8,'Control Panel'!$C$4:$C$8,"0")</f>
        <v>1.25</v>
      </c>
      <c r="E45">
        <f>_xlfn.XLOOKUP(B45, 'Control Panel'!$B$11:$B$17,'Control Panel'!$C$11:$C$17,"0")</f>
        <v>0.95</v>
      </c>
      <c r="G45" s="9" t="str">
        <f>_xlfn.XLOOKUP(F45, 'Control Panel'!$B$20:$B$26,'Control Panel'!$C$20:$C$26,"0")</f>
        <v>0</v>
      </c>
      <c r="H45">
        <v>0</v>
      </c>
      <c r="I45">
        <f t="shared" si="0"/>
        <v>1.1875</v>
      </c>
      <c r="J45">
        <f>MAX(300,SUM('Control Panel'!$B$1*I45))</f>
        <v>356.25</v>
      </c>
    </row>
    <row r="46" spans="1:10" x14ac:dyDescent="0.25">
      <c r="A46" s="5">
        <v>46065</v>
      </c>
      <c r="B46" s="7" t="s">
        <v>5</v>
      </c>
      <c r="C46" s="9" t="s">
        <v>6</v>
      </c>
      <c r="D46">
        <f>_xlfn.XLOOKUP(C46, 'Control Panel'!$B$4:$B$8,'Control Panel'!$C$4:$C$8,"0")</f>
        <v>1.25</v>
      </c>
      <c r="E46">
        <f>_xlfn.XLOOKUP(B46, 'Control Panel'!$B$11:$B$17,'Control Panel'!$C$11:$C$17,"0")</f>
        <v>0.95</v>
      </c>
      <c r="G46" s="9" t="str">
        <f>_xlfn.XLOOKUP(F46, 'Control Panel'!$B$20:$B$26,'Control Panel'!$C$20:$C$26,"0")</f>
        <v>0</v>
      </c>
      <c r="H46">
        <v>0</v>
      </c>
      <c r="I46">
        <f t="shared" si="0"/>
        <v>1.1875</v>
      </c>
      <c r="J46">
        <f>MAX(300,SUM('Control Panel'!$B$1*I46))</f>
        <v>356.25</v>
      </c>
    </row>
    <row r="47" spans="1:10" x14ac:dyDescent="0.25">
      <c r="A47" s="5">
        <v>46066</v>
      </c>
      <c r="B47" s="7" t="s">
        <v>8</v>
      </c>
      <c r="C47" s="9" t="s">
        <v>6</v>
      </c>
      <c r="D47">
        <f>_xlfn.XLOOKUP(C47, 'Control Panel'!$B$4:$B$8,'Control Panel'!$C$4:$C$8,"0")</f>
        <v>1.25</v>
      </c>
      <c r="E47">
        <f>_xlfn.XLOOKUP(B47, 'Control Panel'!$B$11:$B$17,'Control Panel'!$C$11:$C$17,"0")</f>
        <v>1.1000000000000001</v>
      </c>
      <c r="G47" s="9" t="str">
        <f>_xlfn.XLOOKUP(F47, 'Control Panel'!$B$20:$B$26,'Control Panel'!$C$20:$C$26,"0")</f>
        <v>0</v>
      </c>
      <c r="H47">
        <v>0</v>
      </c>
      <c r="I47">
        <f t="shared" si="0"/>
        <v>1.375</v>
      </c>
      <c r="J47">
        <f>MAX(300,SUM('Control Panel'!$B$1*I47))</f>
        <v>412.5</v>
      </c>
    </row>
    <row r="48" spans="1:10" x14ac:dyDescent="0.25">
      <c r="A48" s="5">
        <v>46067</v>
      </c>
      <c r="B48" s="7" t="s">
        <v>9</v>
      </c>
      <c r="C48" s="9" t="s">
        <v>6</v>
      </c>
      <c r="D48">
        <f>_xlfn.XLOOKUP(C48, 'Control Panel'!$B$4:$B$8,'Control Panel'!$C$4:$C$8,"0")</f>
        <v>1.25</v>
      </c>
      <c r="E48">
        <f>_xlfn.XLOOKUP(B48, 'Control Panel'!$B$11:$B$17,'Control Panel'!$C$11:$C$17,"0")</f>
        <v>1.25</v>
      </c>
      <c r="G48" s="9" t="str">
        <f>_xlfn.XLOOKUP(F48, 'Control Panel'!$B$20:$B$26,'Control Panel'!$C$20:$C$26,"0")</f>
        <v>0</v>
      </c>
      <c r="H48">
        <v>0</v>
      </c>
      <c r="I48">
        <f t="shared" si="0"/>
        <v>1.5625</v>
      </c>
      <c r="J48">
        <f>MAX(300,SUM('Control Panel'!$B$1*I48))</f>
        <v>468.75</v>
      </c>
    </row>
    <row r="49" spans="1:10" x14ac:dyDescent="0.25">
      <c r="A49" s="5">
        <v>46068</v>
      </c>
      <c r="B49" s="7" t="s">
        <v>10</v>
      </c>
      <c r="C49" s="9" t="s">
        <v>6</v>
      </c>
      <c r="D49">
        <f>_xlfn.XLOOKUP(C49, 'Control Panel'!$B$4:$B$8,'Control Panel'!$C$4:$C$8,"0")</f>
        <v>1.25</v>
      </c>
      <c r="E49">
        <f>_xlfn.XLOOKUP(B49, 'Control Panel'!$B$11:$B$17,'Control Panel'!$C$11:$C$17,"0")</f>
        <v>1.05</v>
      </c>
      <c r="G49" s="9" t="str">
        <f>_xlfn.XLOOKUP(F49, 'Control Panel'!$B$20:$B$26,'Control Panel'!$C$20:$C$26,"0")</f>
        <v>0</v>
      </c>
      <c r="H49">
        <v>0</v>
      </c>
      <c r="I49">
        <f t="shared" si="0"/>
        <v>1.3125</v>
      </c>
      <c r="J49">
        <f>MAX(300,SUM('Control Panel'!$B$1*I49))</f>
        <v>393.75</v>
      </c>
    </row>
    <row r="50" spans="1:10" s="18" customFormat="1" x14ac:dyDescent="0.25">
      <c r="A50" s="15">
        <v>46069</v>
      </c>
      <c r="B50" s="16" t="s">
        <v>11</v>
      </c>
      <c r="C50" s="17" t="s">
        <v>6</v>
      </c>
      <c r="D50">
        <f>_xlfn.XLOOKUP(C50, 'Control Panel'!$B$4:$B$8,'Control Panel'!$C$4:$C$8,"0")</f>
        <v>1.25</v>
      </c>
      <c r="E50">
        <f>_xlfn.XLOOKUP(B50, 'Control Panel'!$B$11:$B$17,'Control Panel'!$C$11:$C$17,"0")</f>
        <v>0.95</v>
      </c>
      <c r="G50" s="17" t="str">
        <f>_xlfn.XLOOKUP(F50, 'Control Panel'!$B$20:$B$26,'Control Panel'!$C$20:$C$26,"0")</f>
        <v>0</v>
      </c>
      <c r="H50" s="18">
        <v>0</v>
      </c>
      <c r="I50" s="18">
        <f t="shared" si="0"/>
        <v>1.1875</v>
      </c>
      <c r="J50" s="18">
        <f>MAX(300,SUM('Control Panel'!$B$1*I50))</f>
        <v>356.25</v>
      </c>
    </row>
    <row r="51" spans="1:10" s="18" customFormat="1" x14ac:dyDescent="0.25">
      <c r="A51" s="15">
        <v>46070</v>
      </c>
      <c r="B51" s="16" t="s">
        <v>12</v>
      </c>
      <c r="C51" s="17" t="s">
        <v>6</v>
      </c>
      <c r="D51">
        <f>_xlfn.XLOOKUP(C51, 'Control Panel'!$B$4:$B$8,'Control Panel'!$C$4:$C$8,"0")</f>
        <v>1.25</v>
      </c>
      <c r="E51">
        <f>_xlfn.XLOOKUP(B51, 'Control Panel'!$B$11:$B$17,'Control Panel'!$C$11:$C$17,"0")</f>
        <v>0.95</v>
      </c>
      <c r="G51" s="17" t="str">
        <f>_xlfn.XLOOKUP(F51, 'Control Panel'!$B$20:$B$26,'Control Panel'!$C$20:$C$26,"0")</f>
        <v>0</v>
      </c>
      <c r="H51" s="18">
        <v>0</v>
      </c>
      <c r="I51" s="18">
        <f t="shared" si="0"/>
        <v>1.1875</v>
      </c>
      <c r="J51" s="18">
        <f>MAX(300,SUM('Control Panel'!$B$1*I51))</f>
        <v>356.25</v>
      </c>
    </row>
    <row r="52" spans="1:10" s="18" customFormat="1" x14ac:dyDescent="0.25">
      <c r="A52" s="15">
        <v>46071</v>
      </c>
      <c r="B52" s="16" t="s">
        <v>13</v>
      </c>
      <c r="C52" s="17" t="s">
        <v>6</v>
      </c>
      <c r="D52">
        <f>_xlfn.XLOOKUP(C52, 'Control Panel'!$B$4:$B$8,'Control Panel'!$C$4:$C$8,"0")</f>
        <v>1.25</v>
      </c>
      <c r="E52">
        <f>_xlfn.XLOOKUP(B52, 'Control Panel'!$B$11:$B$17,'Control Panel'!$C$11:$C$17,"0")</f>
        <v>0.95</v>
      </c>
      <c r="G52" s="17" t="str">
        <f>_xlfn.XLOOKUP(F52, 'Control Panel'!$B$20:$B$26,'Control Panel'!$C$20:$C$26,"0")</f>
        <v>0</v>
      </c>
      <c r="H52" s="18">
        <v>0</v>
      </c>
      <c r="I52" s="18">
        <f t="shared" si="0"/>
        <v>1.1875</v>
      </c>
      <c r="J52" s="18">
        <f>MAX(300,SUM('Control Panel'!$B$1*I52))</f>
        <v>356.25</v>
      </c>
    </row>
    <row r="53" spans="1:10" s="18" customFormat="1" x14ac:dyDescent="0.25">
      <c r="A53" s="15">
        <v>46072</v>
      </c>
      <c r="B53" s="16" t="s">
        <v>5</v>
      </c>
      <c r="C53" s="17" t="s">
        <v>6</v>
      </c>
      <c r="D53">
        <f>_xlfn.XLOOKUP(C53, 'Control Panel'!$B$4:$B$8,'Control Panel'!$C$4:$C$8,"0")</f>
        <v>1.25</v>
      </c>
      <c r="E53">
        <f>_xlfn.XLOOKUP(B53, 'Control Panel'!$B$11:$B$17,'Control Panel'!$C$11:$C$17,"0")</f>
        <v>0.95</v>
      </c>
      <c r="G53" s="17" t="str">
        <f>_xlfn.XLOOKUP(F53, 'Control Panel'!$B$20:$B$26,'Control Panel'!$C$20:$C$26,"0")</f>
        <v>0</v>
      </c>
      <c r="H53" s="18">
        <v>0</v>
      </c>
      <c r="I53" s="18">
        <f t="shared" si="0"/>
        <v>1.1875</v>
      </c>
      <c r="J53" s="18">
        <f>MAX(300,SUM('Control Panel'!$B$1*I53))</f>
        <v>356.25</v>
      </c>
    </row>
    <row r="54" spans="1:10" s="18" customFormat="1" x14ac:dyDescent="0.25">
      <c r="A54" s="15">
        <v>46073</v>
      </c>
      <c r="B54" s="16" t="s">
        <v>8</v>
      </c>
      <c r="C54" s="17" t="s">
        <v>6</v>
      </c>
      <c r="D54">
        <f>_xlfn.XLOOKUP(C54, 'Control Panel'!$B$4:$B$8,'Control Panel'!$C$4:$C$8,"0")</f>
        <v>1.25</v>
      </c>
      <c r="E54">
        <f>_xlfn.XLOOKUP(B54, 'Control Panel'!$B$11:$B$17,'Control Panel'!$C$11:$C$17,"0")</f>
        <v>1.1000000000000001</v>
      </c>
      <c r="G54" s="17" t="str">
        <f>_xlfn.XLOOKUP(F54, 'Control Panel'!$B$20:$B$26,'Control Panel'!$C$20:$C$26,"0")</f>
        <v>0</v>
      </c>
      <c r="H54" s="18">
        <v>0</v>
      </c>
      <c r="I54" s="18">
        <f t="shared" si="0"/>
        <v>1.375</v>
      </c>
      <c r="J54" s="18">
        <f>MAX(300,SUM('Control Panel'!$B$1*I54))</f>
        <v>412.5</v>
      </c>
    </row>
    <row r="55" spans="1:10" s="18" customFormat="1" x14ac:dyDescent="0.25">
      <c r="A55" s="15">
        <v>46074</v>
      </c>
      <c r="B55" s="16" t="s">
        <v>9</v>
      </c>
      <c r="C55" s="17" t="s">
        <v>6</v>
      </c>
      <c r="D55">
        <f>_xlfn.XLOOKUP(C55, 'Control Panel'!$B$4:$B$8,'Control Panel'!$C$4:$C$8,"0")</f>
        <v>1.25</v>
      </c>
      <c r="E55">
        <f>_xlfn.XLOOKUP(B55, 'Control Panel'!$B$11:$B$17,'Control Panel'!$C$11:$C$17,"0")</f>
        <v>1.25</v>
      </c>
      <c r="G55" s="17" t="str">
        <f>_xlfn.XLOOKUP(F55, 'Control Panel'!$B$20:$B$26,'Control Panel'!$C$20:$C$26,"0")</f>
        <v>0</v>
      </c>
      <c r="H55" s="18">
        <v>0</v>
      </c>
      <c r="I55" s="18">
        <f t="shared" si="0"/>
        <v>1.5625</v>
      </c>
      <c r="J55" s="18">
        <f>MAX(300,SUM('Control Panel'!$B$1*I55))</f>
        <v>468.75</v>
      </c>
    </row>
    <row r="56" spans="1:10" s="18" customFormat="1" x14ac:dyDescent="0.25">
      <c r="A56" s="15">
        <v>46075</v>
      </c>
      <c r="B56" s="16" t="s">
        <v>10</v>
      </c>
      <c r="C56" s="17" t="s">
        <v>6</v>
      </c>
      <c r="D56">
        <f>_xlfn.XLOOKUP(C56, 'Control Panel'!$B$4:$B$8,'Control Panel'!$C$4:$C$8,"0")</f>
        <v>1.25</v>
      </c>
      <c r="E56">
        <f>_xlfn.XLOOKUP(B56, 'Control Panel'!$B$11:$B$17,'Control Panel'!$C$11:$C$17,"0")</f>
        <v>1.05</v>
      </c>
      <c r="G56" s="17" t="str">
        <f>_xlfn.XLOOKUP(F56, 'Control Panel'!$B$20:$B$26,'Control Panel'!$C$20:$C$26,"0")</f>
        <v>0</v>
      </c>
      <c r="H56" s="18">
        <v>0</v>
      </c>
      <c r="I56" s="18">
        <f t="shared" si="0"/>
        <v>1.3125</v>
      </c>
      <c r="J56" s="18">
        <f>MAX(300,SUM('Control Panel'!$B$1*I56))</f>
        <v>393.75</v>
      </c>
    </row>
    <row r="57" spans="1:10" x14ac:dyDescent="0.25">
      <c r="A57" s="5">
        <v>46076</v>
      </c>
      <c r="B57" s="7" t="s">
        <v>11</v>
      </c>
      <c r="C57" s="9" t="s">
        <v>6</v>
      </c>
      <c r="D57">
        <f>_xlfn.XLOOKUP(C57, 'Control Panel'!$B$4:$B$8,'Control Panel'!$C$4:$C$8,"0")</f>
        <v>1.25</v>
      </c>
      <c r="E57">
        <f>_xlfn.XLOOKUP(B57, 'Control Panel'!$B$11:$B$17,'Control Panel'!$C$11:$C$17,"0")</f>
        <v>0.95</v>
      </c>
      <c r="G57" s="9" t="str">
        <f>_xlfn.XLOOKUP(F57, 'Control Panel'!$B$20:$B$26,'Control Panel'!$C$20:$C$26,"0")</f>
        <v>0</v>
      </c>
      <c r="H57">
        <v>0</v>
      </c>
      <c r="I57">
        <f t="shared" si="0"/>
        <v>1.1875</v>
      </c>
      <c r="J57">
        <f>MAX(300,SUM('Control Panel'!$B$1*I57))</f>
        <v>356.25</v>
      </c>
    </row>
    <row r="58" spans="1:10" x14ac:dyDescent="0.25">
      <c r="A58" s="5">
        <v>46077</v>
      </c>
      <c r="B58" s="7" t="s">
        <v>12</v>
      </c>
      <c r="C58" s="9" t="s">
        <v>6</v>
      </c>
      <c r="D58">
        <f>_xlfn.XLOOKUP(C58, 'Control Panel'!$B$4:$B$8,'Control Panel'!$C$4:$C$8,"0")</f>
        <v>1.25</v>
      </c>
      <c r="E58">
        <f>_xlfn.XLOOKUP(B58, 'Control Panel'!$B$11:$B$17,'Control Panel'!$C$11:$C$17,"0")</f>
        <v>0.95</v>
      </c>
      <c r="G58" s="9" t="str">
        <f>_xlfn.XLOOKUP(F58, 'Control Panel'!$B$20:$B$26,'Control Panel'!$C$20:$C$26,"0")</f>
        <v>0</v>
      </c>
      <c r="H58">
        <v>0</v>
      </c>
      <c r="I58">
        <f t="shared" si="0"/>
        <v>1.1875</v>
      </c>
      <c r="J58">
        <f>MAX(300,SUM('Control Panel'!$B$1*I58))</f>
        <v>356.25</v>
      </c>
    </row>
    <row r="59" spans="1:10" x14ac:dyDescent="0.25">
      <c r="A59" s="5">
        <v>46078</v>
      </c>
      <c r="B59" s="7" t="s">
        <v>13</v>
      </c>
      <c r="C59" s="9" t="s">
        <v>6</v>
      </c>
      <c r="D59">
        <f>_xlfn.XLOOKUP(C59, 'Control Panel'!$B$4:$B$8,'Control Panel'!$C$4:$C$8,"0")</f>
        <v>1.25</v>
      </c>
      <c r="E59">
        <f>_xlfn.XLOOKUP(B59, 'Control Panel'!$B$11:$B$17,'Control Panel'!$C$11:$C$17,"0")</f>
        <v>0.95</v>
      </c>
      <c r="G59" s="9" t="str">
        <f>_xlfn.XLOOKUP(F59, 'Control Panel'!$B$20:$B$26,'Control Panel'!$C$20:$C$26,"0")</f>
        <v>0</v>
      </c>
      <c r="H59">
        <v>0</v>
      </c>
      <c r="I59">
        <f t="shared" si="0"/>
        <v>1.1875</v>
      </c>
      <c r="J59">
        <f>MAX(300,SUM('Control Panel'!$B$1*I59))</f>
        <v>356.25</v>
      </c>
    </row>
    <row r="60" spans="1:10" x14ac:dyDescent="0.25">
      <c r="A60" s="5">
        <v>46079</v>
      </c>
      <c r="B60" s="7" t="s">
        <v>5</v>
      </c>
      <c r="C60" s="9" t="s">
        <v>6</v>
      </c>
      <c r="D60">
        <f>_xlfn.XLOOKUP(C60, 'Control Panel'!$B$4:$B$8,'Control Panel'!$C$4:$C$8,"0")</f>
        <v>1.25</v>
      </c>
      <c r="E60">
        <f>_xlfn.XLOOKUP(B60, 'Control Panel'!$B$11:$B$17,'Control Panel'!$C$11:$C$17,"0")</f>
        <v>0.95</v>
      </c>
      <c r="G60" s="9" t="str">
        <f>_xlfn.XLOOKUP(F60, 'Control Panel'!$B$20:$B$26,'Control Panel'!$C$20:$C$26,"0")</f>
        <v>0</v>
      </c>
      <c r="H60">
        <v>0</v>
      </c>
      <c r="I60">
        <f t="shared" si="0"/>
        <v>1.1875</v>
      </c>
      <c r="J60">
        <f>MAX(300,SUM('Control Panel'!$B$1*I60))</f>
        <v>356.25</v>
      </c>
    </row>
    <row r="61" spans="1:10" x14ac:dyDescent="0.25">
      <c r="A61" s="5">
        <v>46080</v>
      </c>
      <c r="B61" s="7" t="s">
        <v>8</v>
      </c>
      <c r="C61" s="9" t="s">
        <v>6</v>
      </c>
      <c r="D61">
        <f>_xlfn.XLOOKUP(C61, 'Control Panel'!$B$4:$B$8,'Control Panel'!$C$4:$C$8,"0")</f>
        <v>1.25</v>
      </c>
      <c r="E61">
        <f>_xlfn.XLOOKUP(B61, 'Control Panel'!$B$11:$B$17,'Control Panel'!$C$11:$C$17,"0")</f>
        <v>1.1000000000000001</v>
      </c>
      <c r="G61" s="9" t="str">
        <f>_xlfn.XLOOKUP(F61, 'Control Panel'!$B$20:$B$26,'Control Panel'!$C$20:$C$26,"0")</f>
        <v>0</v>
      </c>
      <c r="H61">
        <v>0</v>
      </c>
      <c r="I61">
        <f t="shared" si="0"/>
        <v>1.375</v>
      </c>
      <c r="J61">
        <f>MAX(300,SUM('Control Panel'!$B$1*I61))</f>
        <v>412.5</v>
      </c>
    </row>
    <row r="62" spans="1:10" x14ac:dyDescent="0.25">
      <c r="A62" s="5">
        <v>46081</v>
      </c>
      <c r="B62" s="7" t="s">
        <v>9</v>
      </c>
      <c r="C62" s="9" t="s">
        <v>6</v>
      </c>
      <c r="D62">
        <f>_xlfn.XLOOKUP(C62, 'Control Panel'!$B$4:$B$8,'Control Panel'!$C$4:$C$8,"0")</f>
        <v>1.25</v>
      </c>
      <c r="E62">
        <f>_xlfn.XLOOKUP(B62, 'Control Panel'!$B$11:$B$17,'Control Panel'!$C$11:$C$17,"0")</f>
        <v>1.25</v>
      </c>
      <c r="G62" s="9" t="str">
        <f>_xlfn.XLOOKUP(F62, 'Control Panel'!$B$20:$B$26,'Control Panel'!$C$20:$C$26,"0")</f>
        <v>0</v>
      </c>
      <c r="H62">
        <v>0</v>
      </c>
      <c r="I62">
        <f t="shared" si="0"/>
        <v>1.5625</v>
      </c>
      <c r="J62">
        <f>MAX(300,SUM('Control Panel'!$B$1*I62))</f>
        <v>468.75</v>
      </c>
    </row>
    <row r="63" spans="1:10" x14ac:dyDescent="0.25">
      <c r="A63" s="10" t="s">
        <v>34</v>
      </c>
      <c r="B63" s="13"/>
      <c r="C63" s="14"/>
      <c r="G63" s="9" t="str">
        <f>_xlfn.XLOOKUP(F63, 'Control Panel'!$B$20:$B$26,'Control Panel'!$C$20:$C$26,"0")</f>
        <v>0</v>
      </c>
    </row>
    <row r="64" spans="1:10" x14ac:dyDescent="0.25">
      <c r="A64" s="5">
        <v>46082</v>
      </c>
      <c r="B64" s="7" t="s">
        <v>10</v>
      </c>
      <c r="C64" s="9" t="s">
        <v>6</v>
      </c>
      <c r="D64">
        <f>_xlfn.XLOOKUP(C64, 'Control Panel'!$B$4:$B$8,'Control Panel'!$C$4:$C$8,"0")</f>
        <v>1.25</v>
      </c>
      <c r="E64">
        <f>_xlfn.XLOOKUP(B64, 'Control Panel'!$B$11:$B$17,'Control Panel'!$C$11:$C$17,"0")</f>
        <v>1.05</v>
      </c>
      <c r="G64" s="9" t="str">
        <f>_xlfn.XLOOKUP(F64, 'Control Panel'!$B$20:$B$26,'Control Panel'!$C$20:$C$26,"0")</f>
        <v>0</v>
      </c>
      <c r="H64">
        <v>0</v>
      </c>
      <c r="I64">
        <f t="shared" si="0"/>
        <v>1.3125</v>
      </c>
      <c r="J64">
        <f>MAX(300,SUM('Control Panel'!$B$1*I64))</f>
        <v>393.75</v>
      </c>
    </row>
    <row r="65" spans="1:10" s="18" customFormat="1" x14ac:dyDescent="0.25">
      <c r="A65" s="15">
        <v>46083</v>
      </c>
      <c r="B65" s="16" t="s">
        <v>11</v>
      </c>
      <c r="C65" s="17" t="s">
        <v>6</v>
      </c>
      <c r="D65">
        <f>_xlfn.XLOOKUP(C65, 'Control Panel'!$B$4:$B$8,'Control Panel'!$C$4:$C$8,"0")</f>
        <v>1.25</v>
      </c>
      <c r="E65">
        <f>_xlfn.XLOOKUP(B65, 'Control Panel'!$B$11:$B$17,'Control Panel'!$C$11:$C$17,"0")</f>
        <v>0.95</v>
      </c>
      <c r="G65" s="17" t="str">
        <f>_xlfn.XLOOKUP(F65, 'Control Panel'!$B$20:$B$26,'Control Panel'!$C$20:$C$26,"0")</f>
        <v>0</v>
      </c>
      <c r="H65" s="18">
        <v>0</v>
      </c>
      <c r="I65" s="18">
        <f t="shared" si="0"/>
        <v>1.1875</v>
      </c>
      <c r="J65" s="18">
        <f>MAX(300,SUM('Control Panel'!$B$1*I65))</f>
        <v>356.25</v>
      </c>
    </row>
    <row r="66" spans="1:10" s="18" customFormat="1" x14ac:dyDescent="0.25">
      <c r="A66" s="15">
        <v>46084</v>
      </c>
      <c r="B66" s="16" t="s">
        <v>12</v>
      </c>
      <c r="C66" s="17" t="s">
        <v>6</v>
      </c>
      <c r="D66">
        <f>_xlfn.XLOOKUP(C66, 'Control Panel'!$B$4:$B$8,'Control Panel'!$C$4:$C$8,"0")</f>
        <v>1.25</v>
      </c>
      <c r="E66">
        <f>_xlfn.XLOOKUP(B66, 'Control Panel'!$B$11:$B$17,'Control Panel'!$C$11:$C$17,"0")</f>
        <v>0.95</v>
      </c>
      <c r="G66" s="17" t="str">
        <f>_xlfn.XLOOKUP(F66, 'Control Panel'!$B$20:$B$26,'Control Panel'!$C$20:$C$26,"0")</f>
        <v>0</v>
      </c>
      <c r="H66" s="18">
        <v>0</v>
      </c>
      <c r="I66" s="18">
        <f t="shared" si="0"/>
        <v>1.1875</v>
      </c>
      <c r="J66" s="18">
        <f>MAX(300,SUM('Control Panel'!$B$1*I66))</f>
        <v>356.25</v>
      </c>
    </row>
    <row r="67" spans="1:10" s="18" customFormat="1" x14ac:dyDescent="0.25">
      <c r="A67" s="15">
        <v>46085</v>
      </c>
      <c r="B67" s="16" t="s">
        <v>13</v>
      </c>
      <c r="C67" s="17" t="s">
        <v>6</v>
      </c>
      <c r="D67">
        <f>_xlfn.XLOOKUP(C67, 'Control Panel'!$B$4:$B$8,'Control Panel'!$C$4:$C$8,"0")</f>
        <v>1.25</v>
      </c>
      <c r="E67">
        <f>_xlfn.XLOOKUP(B67, 'Control Panel'!$B$11:$B$17,'Control Panel'!$C$11:$C$17,"0")</f>
        <v>0.95</v>
      </c>
      <c r="G67" s="17" t="str">
        <f>_xlfn.XLOOKUP(F67, 'Control Panel'!$B$20:$B$26,'Control Panel'!$C$20:$C$26,"0")</f>
        <v>0</v>
      </c>
      <c r="H67" s="18">
        <v>0</v>
      </c>
      <c r="I67" s="18">
        <f t="shared" si="0"/>
        <v>1.1875</v>
      </c>
      <c r="J67" s="18">
        <f>MAX(300,SUM('Control Panel'!$B$1*I67))</f>
        <v>356.25</v>
      </c>
    </row>
    <row r="68" spans="1:10" s="18" customFormat="1" x14ac:dyDescent="0.25">
      <c r="A68" s="15">
        <v>46086</v>
      </c>
      <c r="B68" s="16" t="s">
        <v>5</v>
      </c>
      <c r="C68" s="17" t="s">
        <v>6</v>
      </c>
      <c r="D68">
        <f>_xlfn.XLOOKUP(C68, 'Control Panel'!$B$4:$B$8,'Control Panel'!$C$4:$C$8,"0")</f>
        <v>1.25</v>
      </c>
      <c r="E68">
        <f>_xlfn.XLOOKUP(B68, 'Control Panel'!$B$11:$B$17,'Control Panel'!$C$11:$C$17,"0")</f>
        <v>0.95</v>
      </c>
      <c r="G68" s="17" t="str">
        <f>_xlfn.XLOOKUP(F68, 'Control Panel'!$B$20:$B$26,'Control Panel'!$C$20:$C$26,"0")</f>
        <v>0</v>
      </c>
      <c r="H68" s="18">
        <v>0</v>
      </c>
      <c r="I68" s="18">
        <f t="shared" si="0"/>
        <v>1.1875</v>
      </c>
      <c r="J68" s="18">
        <f>MAX(300,SUM('Control Panel'!$B$1*I68))</f>
        <v>356.25</v>
      </c>
    </row>
    <row r="69" spans="1:10" s="18" customFormat="1" x14ac:dyDescent="0.25">
      <c r="A69" s="15">
        <v>46087</v>
      </c>
      <c r="B69" s="16" t="s">
        <v>8</v>
      </c>
      <c r="C69" s="17" t="s">
        <v>6</v>
      </c>
      <c r="D69">
        <f>_xlfn.XLOOKUP(C69, 'Control Panel'!$B$4:$B$8,'Control Panel'!$C$4:$C$8,"0")</f>
        <v>1.25</v>
      </c>
      <c r="E69">
        <f>_xlfn.XLOOKUP(B69, 'Control Panel'!$B$11:$B$17,'Control Panel'!$C$11:$C$17,"0")</f>
        <v>1.1000000000000001</v>
      </c>
      <c r="G69" s="17" t="str">
        <f>_xlfn.XLOOKUP(F69, 'Control Panel'!$B$20:$B$26,'Control Panel'!$C$20:$C$26,"0")</f>
        <v>0</v>
      </c>
      <c r="H69" s="18">
        <v>0</v>
      </c>
      <c r="I69" s="18">
        <f t="shared" si="0"/>
        <v>1.375</v>
      </c>
      <c r="J69" s="18">
        <f>MAX(300,SUM('Control Panel'!$B$1*I69))</f>
        <v>412.5</v>
      </c>
    </row>
    <row r="70" spans="1:10" s="18" customFormat="1" x14ac:dyDescent="0.25">
      <c r="A70" s="15">
        <v>46088</v>
      </c>
      <c r="B70" s="16" t="s">
        <v>9</v>
      </c>
      <c r="C70" s="17" t="s">
        <v>6</v>
      </c>
      <c r="D70">
        <f>_xlfn.XLOOKUP(C70, 'Control Panel'!$B$4:$B$8,'Control Panel'!$C$4:$C$8,"0")</f>
        <v>1.25</v>
      </c>
      <c r="E70">
        <f>_xlfn.XLOOKUP(B70, 'Control Panel'!$B$11:$B$17,'Control Panel'!$C$11:$C$17,"0")</f>
        <v>1.25</v>
      </c>
      <c r="G70" s="17" t="str">
        <f>_xlfn.XLOOKUP(F70, 'Control Panel'!$B$20:$B$26,'Control Panel'!$C$20:$C$26,"0")</f>
        <v>0</v>
      </c>
      <c r="H70" s="18">
        <v>0</v>
      </c>
      <c r="I70" s="18">
        <f t="shared" si="0"/>
        <v>1.5625</v>
      </c>
      <c r="J70" s="18">
        <f>MAX(300,SUM('Control Panel'!$B$1*I70))</f>
        <v>468.75</v>
      </c>
    </row>
    <row r="71" spans="1:10" s="18" customFormat="1" x14ac:dyDescent="0.25">
      <c r="A71" s="15">
        <v>46089</v>
      </c>
      <c r="B71" s="16" t="s">
        <v>10</v>
      </c>
      <c r="C71" s="17" t="s">
        <v>6</v>
      </c>
      <c r="D71">
        <f>_xlfn.XLOOKUP(C71, 'Control Panel'!$B$4:$B$8,'Control Panel'!$C$4:$C$8,"0")</f>
        <v>1.25</v>
      </c>
      <c r="E71">
        <f>_xlfn.XLOOKUP(B71, 'Control Panel'!$B$11:$B$17,'Control Panel'!$C$11:$C$17,"0")</f>
        <v>1.05</v>
      </c>
      <c r="G71" s="17" t="str">
        <f>_xlfn.XLOOKUP(F71, 'Control Panel'!$B$20:$B$26,'Control Panel'!$C$20:$C$26,"0")</f>
        <v>0</v>
      </c>
      <c r="H71" s="18">
        <v>0</v>
      </c>
      <c r="I71" s="18">
        <f t="shared" ref="I71:I136" si="1">(D71*E71)+G71+H71</f>
        <v>1.3125</v>
      </c>
      <c r="J71" s="18">
        <f>MAX(300,SUM('Control Panel'!$B$1*I71))</f>
        <v>393.75</v>
      </c>
    </row>
    <row r="72" spans="1:10" x14ac:dyDescent="0.25">
      <c r="A72" s="5">
        <v>46090</v>
      </c>
      <c r="B72" s="7" t="s">
        <v>11</v>
      </c>
      <c r="C72" s="9" t="s">
        <v>6</v>
      </c>
      <c r="D72">
        <f>_xlfn.XLOOKUP(C72, 'Control Panel'!$B$4:$B$8,'Control Panel'!$C$4:$C$8,"0")</f>
        <v>1.25</v>
      </c>
      <c r="E72">
        <f>_xlfn.XLOOKUP(B72, 'Control Panel'!$B$11:$B$17,'Control Panel'!$C$11:$C$17,"0")</f>
        <v>0.95</v>
      </c>
      <c r="G72" s="9" t="str">
        <f>_xlfn.XLOOKUP(F72, 'Control Panel'!$B$20:$B$26,'Control Panel'!$C$20:$C$26,"0")</f>
        <v>0</v>
      </c>
      <c r="H72">
        <v>0</v>
      </c>
      <c r="I72">
        <f t="shared" si="1"/>
        <v>1.1875</v>
      </c>
      <c r="J72">
        <f>MAX(300,SUM('Control Panel'!$B$1*I72))</f>
        <v>356.25</v>
      </c>
    </row>
    <row r="73" spans="1:10" x14ac:dyDescent="0.25">
      <c r="A73" s="5">
        <v>46091</v>
      </c>
      <c r="B73" s="7" t="s">
        <v>12</v>
      </c>
      <c r="C73" s="9" t="s">
        <v>6</v>
      </c>
      <c r="D73">
        <f>_xlfn.XLOOKUP(C73, 'Control Panel'!$B$4:$B$8,'Control Panel'!$C$4:$C$8,"0")</f>
        <v>1.25</v>
      </c>
      <c r="E73">
        <f>_xlfn.XLOOKUP(B73, 'Control Panel'!$B$11:$B$17,'Control Panel'!$C$11:$C$17,"0")</f>
        <v>0.95</v>
      </c>
      <c r="G73" s="9" t="str">
        <f>_xlfn.XLOOKUP(F73, 'Control Panel'!$B$20:$B$26,'Control Panel'!$C$20:$C$26,"0")</f>
        <v>0</v>
      </c>
      <c r="H73">
        <v>0</v>
      </c>
      <c r="I73">
        <f t="shared" si="1"/>
        <v>1.1875</v>
      </c>
      <c r="J73">
        <f>MAX(300,SUM('Control Panel'!$B$1*I73))</f>
        <v>356.25</v>
      </c>
    </row>
    <row r="74" spans="1:10" x14ac:dyDescent="0.25">
      <c r="A74" s="5">
        <v>46092</v>
      </c>
      <c r="B74" s="7" t="s">
        <v>13</v>
      </c>
      <c r="C74" s="9" t="s">
        <v>6</v>
      </c>
      <c r="D74">
        <f>_xlfn.XLOOKUP(C74, 'Control Panel'!$B$4:$B$8,'Control Panel'!$C$4:$C$8,"0")</f>
        <v>1.25</v>
      </c>
      <c r="E74">
        <f>_xlfn.XLOOKUP(B74, 'Control Panel'!$B$11:$B$17,'Control Panel'!$C$11:$C$17,"0")</f>
        <v>0.95</v>
      </c>
      <c r="G74" s="9" t="str">
        <f>_xlfn.XLOOKUP(F74, 'Control Panel'!$B$20:$B$26,'Control Panel'!$C$20:$C$26,"0")</f>
        <v>0</v>
      </c>
      <c r="H74">
        <v>0</v>
      </c>
      <c r="I74">
        <f t="shared" si="1"/>
        <v>1.1875</v>
      </c>
      <c r="J74">
        <f>MAX(300,SUM('Control Panel'!$B$1*I74))</f>
        <v>356.25</v>
      </c>
    </row>
    <row r="75" spans="1:10" x14ac:dyDescent="0.25">
      <c r="A75" s="5">
        <v>46093</v>
      </c>
      <c r="B75" s="7" t="s">
        <v>5</v>
      </c>
      <c r="C75" s="9" t="s">
        <v>6</v>
      </c>
      <c r="D75">
        <f>_xlfn.XLOOKUP(C75, 'Control Panel'!$B$4:$B$8,'Control Panel'!$C$4:$C$8,"0")</f>
        <v>1.25</v>
      </c>
      <c r="E75">
        <f>_xlfn.XLOOKUP(B75, 'Control Panel'!$B$11:$B$17,'Control Panel'!$C$11:$C$17,"0")</f>
        <v>0.95</v>
      </c>
      <c r="G75" s="9" t="str">
        <f>_xlfn.XLOOKUP(F75, 'Control Panel'!$B$20:$B$26,'Control Panel'!$C$20:$C$26,"0")</f>
        <v>0</v>
      </c>
      <c r="H75">
        <v>0</v>
      </c>
      <c r="I75">
        <f t="shared" si="1"/>
        <v>1.1875</v>
      </c>
      <c r="J75">
        <f>MAX(300,SUM('Control Panel'!$B$1*I75))</f>
        <v>356.25</v>
      </c>
    </row>
    <row r="76" spans="1:10" x14ac:dyDescent="0.25">
      <c r="A76" s="5">
        <v>46094</v>
      </c>
      <c r="B76" s="7" t="s">
        <v>8</v>
      </c>
      <c r="C76" s="9" t="s">
        <v>6</v>
      </c>
      <c r="D76">
        <f>_xlfn.XLOOKUP(C76, 'Control Panel'!$B$4:$B$8,'Control Panel'!$C$4:$C$8,"0")</f>
        <v>1.25</v>
      </c>
      <c r="E76">
        <f>_xlfn.XLOOKUP(B76, 'Control Panel'!$B$11:$B$17,'Control Panel'!$C$11:$C$17,"0")</f>
        <v>1.1000000000000001</v>
      </c>
      <c r="G76" s="9" t="str">
        <f>_xlfn.XLOOKUP(F76, 'Control Panel'!$B$20:$B$26,'Control Panel'!$C$20:$C$26,"0")</f>
        <v>0</v>
      </c>
      <c r="H76">
        <v>0</v>
      </c>
      <c r="I76">
        <f t="shared" si="1"/>
        <v>1.375</v>
      </c>
      <c r="J76">
        <f>MAX(300,SUM('Control Panel'!$B$1*I76))</f>
        <v>412.5</v>
      </c>
    </row>
    <row r="77" spans="1:10" x14ac:dyDescent="0.25">
      <c r="A77" s="5">
        <v>46095</v>
      </c>
      <c r="B77" s="7" t="s">
        <v>9</v>
      </c>
      <c r="C77" s="9" t="s">
        <v>6</v>
      </c>
      <c r="D77">
        <f>_xlfn.XLOOKUP(C77, 'Control Panel'!$B$4:$B$8,'Control Panel'!$C$4:$C$8,"0")</f>
        <v>1.25</v>
      </c>
      <c r="E77">
        <f>_xlfn.XLOOKUP(B77, 'Control Panel'!$B$11:$B$17,'Control Panel'!$C$11:$C$17,"0")</f>
        <v>1.25</v>
      </c>
      <c r="G77" s="9" t="str">
        <f>_xlfn.XLOOKUP(F77, 'Control Panel'!$B$20:$B$26,'Control Panel'!$C$20:$C$26,"0")</f>
        <v>0</v>
      </c>
      <c r="H77">
        <v>0</v>
      </c>
      <c r="I77">
        <f t="shared" si="1"/>
        <v>1.5625</v>
      </c>
      <c r="J77">
        <f>MAX(300,SUM('Control Panel'!$B$1*I77))</f>
        <v>468.75</v>
      </c>
    </row>
    <row r="78" spans="1:10" x14ac:dyDescent="0.25">
      <c r="A78" s="5">
        <v>46096</v>
      </c>
      <c r="B78" s="7" t="s">
        <v>10</v>
      </c>
      <c r="C78" s="9" t="s">
        <v>6</v>
      </c>
      <c r="D78">
        <f>_xlfn.XLOOKUP(C78, 'Control Panel'!$B$4:$B$8,'Control Panel'!$C$4:$C$8,"0")</f>
        <v>1.25</v>
      </c>
      <c r="E78">
        <f>_xlfn.XLOOKUP(B78, 'Control Panel'!$B$11:$B$17,'Control Panel'!$C$11:$C$17,"0")</f>
        <v>1.05</v>
      </c>
      <c r="G78" s="9" t="str">
        <f>_xlfn.XLOOKUP(F78, 'Control Panel'!$B$20:$B$26,'Control Panel'!$C$20:$C$26,"0")</f>
        <v>0</v>
      </c>
      <c r="H78">
        <v>0</v>
      </c>
      <c r="I78">
        <f t="shared" si="1"/>
        <v>1.3125</v>
      </c>
      <c r="J78">
        <f>MAX(300,SUM('Control Panel'!$B$1*I78))</f>
        <v>393.75</v>
      </c>
    </row>
    <row r="79" spans="1:10" s="18" customFormat="1" x14ac:dyDescent="0.25">
      <c r="A79" s="15">
        <v>46097</v>
      </c>
      <c r="B79" s="16" t="s">
        <v>11</v>
      </c>
      <c r="C79" s="17" t="s">
        <v>14</v>
      </c>
      <c r="D79">
        <f>_xlfn.XLOOKUP(C79, 'Control Panel'!$B$4:$B$8,'Control Panel'!$C$4:$C$8,"0")</f>
        <v>0.85</v>
      </c>
      <c r="E79">
        <f>_xlfn.XLOOKUP(B79, 'Control Panel'!$B$11:$B$17,'Control Panel'!$C$11:$C$17,"0")</f>
        <v>0.95</v>
      </c>
      <c r="G79" s="17" t="str">
        <f>_xlfn.XLOOKUP(F79, 'Control Panel'!$B$20:$B$26,'Control Panel'!$C$20:$C$26,"0")</f>
        <v>0</v>
      </c>
      <c r="H79" s="18">
        <v>0</v>
      </c>
      <c r="I79" s="18">
        <f t="shared" si="1"/>
        <v>0.8075</v>
      </c>
      <c r="J79" s="18">
        <f>MAX(300,SUM('Control Panel'!$B$1*I79))</f>
        <v>300</v>
      </c>
    </row>
    <row r="80" spans="1:10" s="18" customFormat="1" x14ac:dyDescent="0.25">
      <c r="A80" s="15">
        <v>46098</v>
      </c>
      <c r="B80" s="16" t="s">
        <v>12</v>
      </c>
      <c r="C80" s="17" t="s">
        <v>14</v>
      </c>
      <c r="D80">
        <f>_xlfn.XLOOKUP(C80, 'Control Panel'!$B$4:$B$8,'Control Panel'!$C$4:$C$8,"0")</f>
        <v>0.85</v>
      </c>
      <c r="E80">
        <f>_xlfn.XLOOKUP(B80, 'Control Panel'!$B$11:$B$17,'Control Panel'!$C$11:$C$17,"0")</f>
        <v>0.95</v>
      </c>
      <c r="G80" s="17" t="str">
        <f>_xlfn.XLOOKUP(F80, 'Control Panel'!$B$20:$B$26,'Control Panel'!$C$20:$C$26,"0")</f>
        <v>0</v>
      </c>
      <c r="H80" s="18">
        <v>0</v>
      </c>
      <c r="I80" s="18">
        <f t="shared" si="1"/>
        <v>0.8075</v>
      </c>
      <c r="J80" s="18">
        <f>MAX(300,SUM('Control Panel'!$B$1*I80))</f>
        <v>300</v>
      </c>
    </row>
    <row r="81" spans="1:10" s="18" customFormat="1" x14ac:dyDescent="0.25">
      <c r="A81" s="15">
        <v>46099</v>
      </c>
      <c r="B81" s="16" t="s">
        <v>13</v>
      </c>
      <c r="C81" s="17" t="s">
        <v>14</v>
      </c>
      <c r="D81">
        <f>_xlfn.XLOOKUP(C81, 'Control Panel'!$B$4:$B$8,'Control Panel'!$C$4:$C$8,"0")</f>
        <v>0.85</v>
      </c>
      <c r="E81">
        <f>_xlfn.XLOOKUP(B81, 'Control Panel'!$B$11:$B$17,'Control Panel'!$C$11:$C$17,"0")</f>
        <v>0.95</v>
      </c>
      <c r="G81" s="17" t="str">
        <f>_xlfn.XLOOKUP(F81, 'Control Panel'!$B$20:$B$26,'Control Panel'!$C$20:$C$26,"0")</f>
        <v>0</v>
      </c>
      <c r="H81" s="18">
        <v>0</v>
      </c>
      <c r="I81" s="18">
        <f t="shared" si="1"/>
        <v>0.8075</v>
      </c>
      <c r="J81" s="18">
        <f>MAX(300,SUM('Control Panel'!$B$1*I81))</f>
        <v>300</v>
      </c>
    </row>
    <row r="82" spans="1:10" s="18" customFormat="1" x14ac:dyDescent="0.25">
      <c r="A82" s="15">
        <v>46100</v>
      </c>
      <c r="B82" s="16" t="s">
        <v>5</v>
      </c>
      <c r="C82" s="17" t="s">
        <v>14</v>
      </c>
      <c r="D82">
        <f>_xlfn.XLOOKUP(C82, 'Control Panel'!$B$4:$B$8,'Control Panel'!$C$4:$C$8,"0")</f>
        <v>0.85</v>
      </c>
      <c r="E82">
        <f>_xlfn.XLOOKUP(B82, 'Control Panel'!$B$11:$B$17,'Control Panel'!$C$11:$C$17,"0")</f>
        <v>0.95</v>
      </c>
      <c r="G82" s="17" t="str">
        <f>_xlfn.XLOOKUP(F82, 'Control Panel'!$B$20:$B$26,'Control Panel'!$C$20:$C$26,"0")</f>
        <v>0</v>
      </c>
      <c r="H82" s="18">
        <v>0</v>
      </c>
      <c r="I82" s="18">
        <f t="shared" si="1"/>
        <v>0.8075</v>
      </c>
      <c r="J82" s="18">
        <f>MAX(300,SUM('Control Panel'!$B$1*I82))</f>
        <v>300</v>
      </c>
    </row>
    <row r="83" spans="1:10" s="18" customFormat="1" x14ac:dyDescent="0.25">
      <c r="A83" s="15">
        <v>46101</v>
      </c>
      <c r="B83" s="16" t="s">
        <v>8</v>
      </c>
      <c r="C83" s="17" t="s">
        <v>14</v>
      </c>
      <c r="D83">
        <f>_xlfn.XLOOKUP(C83, 'Control Panel'!$B$4:$B$8,'Control Panel'!$C$4:$C$8,"0")</f>
        <v>0.85</v>
      </c>
      <c r="E83">
        <f>_xlfn.XLOOKUP(B83, 'Control Panel'!$B$11:$B$17,'Control Panel'!$C$11:$C$17,"0")</f>
        <v>1.1000000000000001</v>
      </c>
      <c r="G83" s="17" t="str">
        <f>_xlfn.XLOOKUP(F83, 'Control Panel'!$B$20:$B$26,'Control Panel'!$C$20:$C$26,"0")</f>
        <v>0</v>
      </c>
      <c r="H83" s="18">
        <v>0</v>
      </c>
      <c r="I83" s="18">
        <f t="shared" si="1"/>
        <v>0.93500000000000005</v>
      </c>
      <c r="J83" s="18">
        <f>MAX(300,SUM('Control Panel'!$B$1*I83))</f>
        <v>300</v>
      </c>
    </row>
    <row r="84" spans="1:10" s="18" customFormat="1" x14ac:dyDescent="0.25">
      <c r="A84" s="15">
        <v>46102</v>
      </c>
      <c r="B84" s="16" t="s">
        <v>9</v>
      </c>
      <c r="C84" s="17" t="s">
        <v>14</v>
      </c>
      <c r="D84">
        <f>_xlfn.XLOOKUP(C84, 'Control Panel'!$B$4:$B$8,'Control Panel'!$C$4:$C$8,"0")</f>
        <v>0.85</v>
      </c>
      <c r="E84">
        <f>_xlfn.XLOOKUP(B84, 'Control Panel'!$B$11:$B$17,'Control Panel'!$C$11:$C$17,"0")</f>
        <v>1.25</v>
      </c>
      <c r="G84" s="17" t="str">
        <f>_xlfn.XLOOKUP(F84, 'Control Panel'!$B$20:$B$26,'Control Panel'!$C$20:$C$26,"0")</f>
        <v>0</v>
      </c>
      <c r="H84" s="18">
        <v>0</v>
      </c>
      <c r="I84" s="18">
        <f t="shared" si="1"/>
        <v>1.0625</v>
      </c>
      <c r="J84" s="18">
        <f>MAX(300,SUM('Control Panel'!$B$1*I84))</f>
        <v>318.75</v>
      </c>
    </row>
    <row r="85" spans="1:10" s="18" customFormat="1" x14ac:dyDescent="0.25">
      <c r="A85" s="15">
        <v>46103</v>
      </c>
      <c r="B85" s="16" t="s">
        <v>10</v>
      </c>
      <c r="C85" s="17" t="s">
        <v>14</v>
      </c>
      <c r="D85">
        <f>_xlfn.XLOOKUP(C85, 'Control Panel'!$B$4:$B$8,'Control Panel'!$C$4:$C$8,"0")</f>
        <v>0.85</v>
      </c>
      <c r="E85">
        <f>_xlfn.XLOOKUP(B85, 'Control Panel'!$B$11:$B$17,'Control Panel'!$C$11:$C$17,"0")</f>
        <v>1.05</v>
      </c>
      <c r="G85" s="17" t="str">
        <f>_xlfn.XLOOKUP(F85, 'Control Panel'!$B$20:$B$26,'Control Panel'!$C$20:$C$26,"0")</f>
        <v>0</v>
      </c>
      <c r="H85" s="18">
        <v>0</v>
      </c>
      <c r="I85" s="18">
        <f t="shared" si="1"/>
        <v>0.89249999999999996</v>
      </c>
      <c r="J85" s="18">
        <f>MAX(300,SUM('Control Panel'!$B$1*I85))</f>
        <v>300</v>
      </c>
    </row>
    <row r="86" spans="1:10" x14ac:dyDescent="0.25">
      <c r="A86" s="5">
        <v>46104</v>
      </c>
      <c r="B86" s="7" t="s">
        <v>11</v>
      </c>
      <c r="C86" s="9" t="s">
        <v>14</v>
      </c>
      <c r="D86">
        <f>_xlfn.XLOOKUP(C86, 'Control Panel'!$B$4:$B$8,'Control Panel'!$C$4:$C$8,"0")</f>
        <v>0.85</v>
      </c>
      <c r="E86">
        <f>_xlfn.XLOOKUP(B86, 'Control Panel'!$B$11:$B$17,'Control Panel'!$C$11:$C$17,"0")</f>
        <v>0.95</v>
      </c>
      <c r="G86" s="9" t="str">
        <f>_xlfn.XLOOKUP(F86, 'Control Panel'!$B$20:$B$26,'Control Panel'!$C$20:$C$26,"0")</f>
        <v>0</v>
      </c>
      <c r="H86">
        <v>0</v>
      </c>
      <c r="I86">
        <f t="shared" si="1"/>
        <v>0.8075</v>
      </c>
      <c r="J86">
        <f>MAX(300,SUM('Control Panel'!$B$1*I86))</f>
        <v>300</v>
      </c>
    </row>
    <row r="87" spans="1:10" x14ac:dyDescent="0.25">
      <c r="A87" s="5">
        <v>46105</v>
      </c>
      <c r="B87" s="7" t="s">
        <v>12</v>
      </c>
      <c r="C87" s="9" t="s">
        <v>14</v>
      </c>
      <c r="D87">
        <f>_xlfn.XLOOKUP(C87, 'Control Panel'!$B$4:$B$8,'Control Panel'!$C$4:$C$8,"0")</f>
        <v>0.85</v>
      </c>
      <c r="E87">
        <f>_xlfn.XLOOKUP(B87, 'Control Panel'!$B$11:$B$17,'Control Panel'!$C$11:$C$17,"0")</f>
        <v>0.95</v>
      </c>
      <c r="G87" s="9" t="str">
        <f>_xlfn.XLOOKUP(F87, 'Control Panel'!$B$20:$B$26,'Control Panel'!$C$20:$C$26,"0")</f>
        <v>0</v>
      </c>
      <c r="H87">
        <v>0</v>
      </c>
      <c r="I87">
        <f t="shared" si="1"/>
        <v>0.8075</v>
      </c>
      <c r="J87">
        <f>MAX(300,SUM('Control Panel'!$B$1*I87))</f>
        <v>300</v>
      </c>
    </row>
    <row r="88" spans="1:10" x14ac:dyDescent="0.25">
      <c r="A88" s="5">
        <v>46106</v>
      </c>
      <c r="B88" s="7" t="s">
        <v>13</v>
      </c>
      <c r="C88" s="9" t="s">
        <v>14</v>
      </c>
      <c r="D88">
        <f>_xlfn.XLOOKUP(C88, 'Control Panel'!$B$4:$B$8,'Control Panel'!$C$4:$C$8,"0")</f>
        <v>0.85</v>
      </c>
      <c r="E88">
        <f>_xlfn.XLOOKUP(B88, 'Control Panel'!$B$11:$B$17,'Control Panel'!$C$11:$C$17,"0")</f>
        <v>0.95</v>
      </c>
      <c r="G88" s="9" t="str">
        <f>_xlfn.XLOOKUP(F88, 'Control Panel'!$B$20:$B$26,'Control Panel'!$C$20:$C$26,"0")</f>
        <v>0</v>
      </c>
      <c r="H88">
        <v>0</v>
      </c>
      <c r="I88">
        <f t="shared" si="1"/>
        <v>0.8075</v>
      </c>
      <c r="J88">
        <f>MAX(300,SUM('Control Panel'!$B$1*I88))</f>
        <v>300</v>
      </c>
    </row>
    <row r="89" spans="1:10" x14ac:dyDescent="0.25">
      <c r="A89" s="5">
        <v>46107</v>
      </c>
      <c r="B89" s="7" t="s">
        <v>5</v>
      </c>
      <c r="C89" s="9" t="s">
        <v>14</v>
      </c>
      <c r="D89">
        <f>_xlfn.XLOOKUP(C89, 'Control Panel'!$B$4:$B$8,'Control Panel'!$C$4:$C$8,"0")</f>
        <v>0.85</v>
      </c>
      <c r="E89">
        <f>_xlfn.XLOOKUP(B89, 'Control Panel'!$B$11:$B$17,'Control Panel'!$C$11:$C$17,"0")</f>
        <v>0.95</v>
      </c>
      <c r="G89" s="9" t="str">
        <f>_xlfn.XLOOKUP(F89, 'Control Panel'!$B$20:$B$26,'Control Panel'!$C$20:$C$26,"0")</f>
        <v>0</v>
      </c>
      <c r="H89">
        <v>0</v>
      </c>
      <c r="I89">
        <f t="shared" si="1"/>
        <v>0.8075</v>
      </c>
      <c r="J89">
        <f>MAX(300,SUM('Control Panel'!$B$1*I89))</f>
        <v>300</v>
      </c>
    </row>
    <row r="90" spans="1:10" x14ac:dyDescent="0.25">
      <c r="A90" s="5">
        <v>46108</v>
      </c>
      <c r="B90" s="7" t="s">
        <v>8</v>
      </c>
      <c r="C90" s="9" t="s">
        <v>14</v>
      </c>
      <c r="D90">
        <f>_xlfn.XLOOKUP(C90, 'Control Panel'!$B$4:$B$8,'Control Panel'!$C$4:$C$8,"0")</f>
        <v>0.85</v>
      </c>
      <c r="E90">
        <f>_xlfn.XLOOKUP(B90, 'Control Panel'!$B$11:$B$17,'Control Panel'!$C$11:$C$17,"0")</f>
        <v>1.1000000000000001</v>
      </c>
      <c r="G90" s="9" t="str">
        <f>_xlfn.XLOOKUP(F90, 'Control Panel'!$B$20:$B$26,'Control Panel'!$C$20:$C$26,"0")</f>
        <v>0</v>
      </c>
      <c r="H90">
        <v>0</v>
      </c>
      <c r="I90">
        <f t="shared" si="1"/>
        <v>0.93500000000000005</v>
      </c>
      <c r="J90">
        <f>MAX(300,SUM('Control Panel'!$B$1*I90))</f>
        <v>300</v>
      </c>
    </row>
    <row r="91" spans="1:10" x14ac:dyDescent="0.25">
      <c r="A91" s="5">
        <v>46109</v>
      </c>
      <c r="B91" s="7" t="s">
        <v>9</v>
      </c>
      <c r="C91" s="9" t="s">
        <v>14</v>
      </c>
      <c r="D91">
        <f>_xlfn.XLOOKUP(C91, 'Control Panel'!$B$4:$B$8,'Control Panel'!$C$4:$C$8,"0")</f>
        <v>0.85</v>
      </c>
      <c r="E91">
        <f>_xlfn.XLOOKUP(B91, 'Control Panel'!$B$11:$B$17,'Control Panel'!$C$11:$C$17,"0")</f>
        <v>1.25</v>
      </c>
      <c r="G91" s="9" t="str">
        <f>_xlfn.XLOOKUP(F91, 'Control Panel'!$B$20:$B$26,'Control Panel'!$C$20:$C$26,"0")</f>
        <v>0</v>
      </c>
      <c r="H91">
        <v>0</v>
      </c>
      <c r="I91">
        <f t="shared" si="1"/>
        <v>1.0625</v>
      </c>
      <c r="J91">
        <f>MAX(300,SUM('Control Panel'!$B$1*I91))</f>
        <v>318.75</v>
      </c>
    </row>
    <row r="92" spans="1:10" x14ac:dyDescent="0.25">
      <c r="A92" s="5">
        <v>46110</v>
      </c>
      <c r="B92" s="7" t="s">
        <v>10</v>
      </c>
      <c r="C92" s="9" t="s">
        <v>14</v>
      </c>
      <c r="D92">
        <f>_xlfn.XLOOKUP(C92, 'Control Panel'!$B$4:$B$8,'Control Panel'!$C$4:$C$8,"0")</f>
        <v>0.85</v>
      </c>
      <c r="E92">
        <f>_xlfn.XLOOKUP(B92, 'Control Panel'!$B$11:$B$17,'Control Panel'!$C$11:$C$17,"0")</f>
        <v>1.05</v>
      </c>
      <c r="G92" s="9" t="str">
        <f>_xlfn.XLOOKUP(F92, 'Control Panel'!$B$20:$B$26,'Control Panel'!$C$20:$C$26,"0")</f>
        <v>0</v>
      </c>
      <c r="H92">
        <v>0</v>
      </c>
      <c r="I92">
        <f t="shared" si="1"/>
        <v>0.89249999999999996</v>
      </c>
      <c r="J92">
        <f>MAX(300,SUM('Control Panel'!$B$1*I92))</f>
        <v>300</v>
      </c>
    </row>
    <row r="93" spans="1:10" s="18" customFormat="1" x14ac:dyDescent="0.25">
      <c r="A93" s="15">
        <v>46111</v>
      </c>
      <c r="B93" s="16" t="s">
        <v>11</v>
      </c>
      <c r="C93" s="17" t="s">
        <v>14</v>
      </c>
      <c r="D93">
        <f>_xlfn.XLOOKUP(C93, 'Control Panel'!$B$4:$B$8,'Control Panel'!$C$4:$C$8,"0")</f>
        <v>0.85</v>
      </c>
      <c r="E93">
        <f>_xlfn.XLOOKUP(B93, 'Control Panel'!$B$11:$B$17,'Control Panel'!$C$11:$C$17,"0")</f>
        <v>0.95</v>
      </c>
      <c r="G93" s="17" t="str">
        <f>_xlfn.XLOOKUP(F93, 'Control Panel'!$B$20:$B$26,'Control Panel'!$C$20:$C$26,"0")</f>
        <v>0</v>
      </c>
      <c r="H93" s="18">
        <v>0</v>
      </c>
      <c r="I93" s="18">
        <f t="shared" si="1"/>
        <v>0.8075</v>
      </c>
      <c r="J93" s="18">
        <f>MAX(300,SUM('Control Panel'!$B$1*I93))</f>
        <v>300</v>
      </c>
    </row>
    <row r="94" spans="1:10" s="18" customFormat="1" x14ac:dyDescent="0.25">
      <c r="A94" s="15">
        <v>46112</v>
      </c>
      <c r="B94" s="16" t="s">
        <v>12</v>
      </c>
      <c r="C94" s="17" t="s">
        <v>14</v>
      </c>
      <c r="D94">
        <f>_xlfn.XLOOKUP(C94, 'Control Panel'!$B$4:$B$8,'Control Panel'!$C$4:$C$8,"0")</f>
        <v>0.85</v>
      </c>
      <c r="E94">
        <f>_xlfn.XLOOKUP(B94, 'Control Panel'!$B$11:$B$17,'Control Panel'!$C$11:$C$17,"0")</f>
        <v>0.95</v>
      </c>
      <c r="G94" s="17" t="str">
        <f>_xlfn.XLOOKUP(F94, 'Control Panel'!$B$20:$B$26,'Control Panel'!$C$20:$C$26,"0")</f>
        <v>0</v>
      </c>
      <c r="H94" s="18">
        <v>0</v>
      </c>
      <c r="I94" s="18">
        <f t="shared" si="1"/>
        <v>0.8075</v>
      </c>
      <c r="J94" s="18">
        <f>MAX(300,SUM('Control Panel'!$B$1*I94))</f>
        <v>300</v>
      </c>
    </row>
    <row r="95" spans="1:10" s="18" customFormat="1" x14ac:dyDescent="0.25">
      <c r="A95" s="10" t="s">
        <v>35</v>
      </c>
      <c r="B95" s="13"/>
      <c r="C95" s="14"/>
      <c r="D95"/>
      <c r="E95"/>
      <c r="G95" s="17" t="str">
        <f>_xlfn.XLOOKUP(F95, 'Control Panel'!$B$20:$B$26,'Control Panel'!$C$20:$C$26,"0")</f>
        <v>0</v>
      </c>
    </row>
    <row r="96" spans="1:10" s="18" customFormat="1" x14ac:dyDescent="0.25">
      <c r="A96" s="15">
        <v>46113</v>
      </c>
      <c r="B96" s="16" t="s">
        <v>13</v>
      </c>
      <c r="C96" s="17" t="s">
        <v>15</v>
      </c>
      <c r="D96">
        <f>_xlfn.XLOOKUP(C96, 'Control Panel'!$B$4:$B$8,'Control Panel'!$C$4:$C$8,"0")</f>
        <v>0.9</v>
      </c>
      <c r="E96">
        <f>_xlfn.XLOOKUP(B96, 'Control Panel'!$B$11:$B$17,'Control Panel'!$C$11:$C$17,"0")</f>
        <v>0.95</v>
      </c>
      <c r="G96" s="17" t="str">
        <f>_xlfn.XLOOKUP(F96, 'Control Panel'!$B$20:$B$26,'Control Panel'!$C$20:$C$26,"0")</f>
        <v>0</v>
      </c>
      <c r="H96" s="18">
        <v>0</v>
      </c>
      <c r="I96" s="18">
        <f t="shared" si="1"/>
        <v>0.85499999999999998</v>
      </c>
      <c r="J96" s="18">
        <f>MAX(300,SUM('Control Panel'!$B$1*I96))</f>
        <v>300</v>
      </c>
    </row>
    <row r="97" spans="1:10" s="18" customFormat="1" x14ac:dyDescent="0.25">
      <c r="A97" s="15">
        <v>46114</v>
      </c>
      <c r="B97" s="16" t="s">
        <v>5</v>
      </c>
      <c r="C97" s="17" t="s">
        <v>15</v>
      </c>
      <c r="D97">
        <f>_xlfn.XLOOKUP(C97, 'Control Panel'!$B$4:$B$8,'Control Panel'!$C$4:$C$8,"0")</f>
        <v>0.9</v>
      </c>
      <c r="E97">
        <f>_xlfn.XLOOKUP(B97, 'Control Panel'!$B$11:$B$17,'Control Panel'!$C$11:$C$17,"0")</f>
        <v>0.95</v>
      </c>
      <c r="G97" s="17" t="str">
        <f>_xlfn.XLOOKUP(F97, 'Control Panel'!$B$20:$B$26,'Control Panel'!$C$20:$C$26,"0")</f>
        <v>0</v>
      </c>
      <c r="H97" s="18">
        <v>0</v>
      </c>
      <c r="I97" s="18">
        <f t="shared" si="1"/>
        <v>0.85499999999999998</v>
      </c>
      <c r="J97" s="18">
        <f>MAX(300,SUM('Control Panel'!$B$1*I97))</f>
        <v>300</v>
      </c>
    </row>
    <row r="98" spans="1:10" s="18" customFormat="1" x14ac:dyDescent="0.25">
      <c r="A98" s="15">
        <v>46115</v>
      </c>
      <c r="B98" s="16" t="s">
        <v>8</v>
      </c>
      <c r="C98" s="17" t="s">
        <v>15</v>
      </c>
      <c r="D98">
        <f>_xlfn.XLOOKUP(C98, 'Control Panel'!$B$4:$B$8,'Control Panel'!$C$4:$C$8,"0")</f>
        <v>0.9</v>
      </c>
      <c r="E98">
        <f>_xlfn.XLOOKUP(B98, 'Control Panel'!$B$11:$B$17,'Control Panel'!$C$11:$C$17,"0")</f>
        <v>1.1000000000000001</v>
      </c>
      <c r="G98" s="17" t="str">
        <f>_xlfn.XLOOKUP(F98, 'Control Panel'!$B$20:$B$26,'Control Panel'!$C$20:$C$26,"0")</f>
        <v>0</v>
      </c>
      <c r="H98" s="18">
        <v>0</v>
      </c>
      <c r="I98" s="18">
        <f t="shared" si="1"/>
        <v>0.9900000000000001</v>
      </c>
      <c r="J98" s="18">
        <f>MAX(300,SUM('Control Panel'!$B$1*I98))</f>
        <v>300</v>
      </c>
    </row>
    <row r="99" spans="1:10" s="18" customFormat="1" x14ac:dyDescent="0.25">
      <c r="A99" s="15">
        <v>46116</v>
      </c>
      <c r="B99" s="16" t="s">
        <v>9</v>
      </c>
      <c r="C99" s="17" t="s">
        <v>15</v>
      </c>
      <c r="D99">
        <f>_xlfn.XLOOKUP(C99, 'Control Panel'!$B$4:$B$8,'Control Panel'!$C$4:$C$8,"0")</f>
        <v>0.9</v>
      </c>
      <c r="E99">
        <f>_xlfn.XLOOKUP(B99, 'Control Panel'!$B$11:$B$17,'Control Panel'!$C$11:$C$17,"0")</f>
        <v>1.25</v>
      </c>
      <c r="G99" s="17" t="str">
        <f>_xlfn.XLOOKUP(F99, 'Control Panel'!$B$20:$B$26,'Control Panel'!$C$20:$C$26,"0")</f>
        <v>0</v>
      </c>
      <c r="H99" s="18">
        <v>0</v>
      </c>
      <c r="I99" s="18">
        <f t="shared" si="1"/>
        <v>1.125</v>
      </c>
      <c r="J99" s="18">
        <f>MAX(300,SUM('Control Panel'!$B$1*I99))</f>
        <v>337.5</v>
      </c>
    </row>
    <row r="100" spans="1:10" s="18" customFormat="1" x14ac:dyDescent="0.25">
      <c r="A100" s="15">
        <v>46117</v>
      </c>
      <c r="B100" s="16" t="s">
        <v>10</v>
      </c>
      <c r="C100" s="17" t="s">
        <v>15</v>
      </c>
      <c r="D100">
        <f>_xlfn.XLOOKUP(C100, 'Control Panel'!$B$4:$B$8,'Control Panel'!$C$4:$C$8,"0")</f>
        <v>0.9</v>
      </c>
      <c r="E100">
        <f>_xlfn.XLOOKUP(B100, 'Control Panel'!$B$11:$B$17,'Control Panel'!$C$11:$C$17,"0")</f>
        <v>1.05</v>
      </c>
      <c r="G100" s="17" t="str">
        <f>_xlfn.XLOOKUP(F100, 'Control Panel'!$B$20:$B$26,'Control Panel'!$C$20:$C$26,"0")</f>
        <v>0</v>
      </c>
      <c r="H100" s="18">
        <v>0</v>
      </c>
      <c r="I100" s="18">
        <f t="shared" si="1"/>
        <v>0.94500000000000006</v>
      </c>
      <c r="J100" s="18">
        <f>MAX(300,SUM('Control Panel'!$B$1*I100))</f>
        <v>300</v>
      </c>
    </row>
    <row r="101" spans="1:10" x14ac:dyDescent="0.25">
      <c r="A101" s="5">
        <v>46118</v>
      </c>
      <c r="B101" s="7" t="s">
        <v>11</v>
      </c>
      <c r="C101" s="9" t="s">
        <v>15</v>
      </c>
      <c r="D101">
        <f>_xlfn.XLOOKUP(C101, 'Control Panel'!$B$4:$B$8,'Control Panel'!$C$4:$C$8,"0")</f>
        <v>0.9</v>
      </c>
      <c r="E101">
        <f>_xlfn.XLOOKUP(B101, 'Control Panel'!$B$11:$B$17,'Control Panel'!$C$11:$C$17,"0")</f>
        <v>0.95</v>
      </c>
      <c r="G101" s="9" t="str">
        <f>_xlfn.XLOOKUP(F101, 'Control Panel'!$B$20:$B$26,'Control Panel'!$C$20:$C$26,"0")</f>
        <v>0</v>
      </c>
      <c r="H101">
        <v>0</v>
      </c>
      <c r="I101">
        <f t="shared" si="1"/>
        <v>0.85499999999999998</v>
      </c>
      <c r="J101">
        <f>MAX(300,SUM('Control Panel'!$B$1*I101))</f>
        <v>300</v>
      </c>
    </row>
    <row r="102" spans="1:10" x14ac:dyDescent="0.25">
      <c r="A102" s="5">
        <v>46119</v>
      </c>
      <c r="B102" s="7" t="s">
        <v>12</v>
      </c>
      <c r="C102" s="9" t="s">
        <v>15</v>
      </c>
      <c r="D102">
        <f>_xlfn.XLOOKUP(C102, 'Control Panel'!$B$4:$B$8,'Control Panel'!$C$4:$C$8,"0")</f>
        <v>0.9</v>
      </c>
      <c r="E102">
        <f>_xlfn.XLOOKUP(B102, 'Control Panel'!$B$11:$B$17,'Control Panel'!$C$11:$C$17,"0")</f>
        <v>0.95</v>
      </c>
      <c r="G102" s="9" t="str">
        <f>_xlfn.XLOOKUP(F102, 'Control Panel'!$B$20:$B$26,'Control Panel'!$C$20:$C$26,"0")</f>
        <v>0</v>
      </c>
      <c r="H102">
        <v>0</v>
      </c>
      <c r="I102">
        <f t="shared" si="1"/>
        <v>0.85499999999999998</v>
      </c>
      <c r="J102">
        <f>MAX(300,SUM('Control Panel'!$B$1*I102))</f>
        <v>300</v>
      </c>
    </row>
    <row r="103" spans="1:10" x14ac:dyDescent="0.25">
      <c r="A103" s="5">
        <v>46120</v>
      </c>
      <c r="B103" s="7" t="s">
        <v>13</v>
      </c>
      <c r="C103" s="9" t="s">
        <v>15</v>
      </c>
      <c r="D103">
        <f>_xlfn.XLOOKUP(C103, 'Control Panel'!$B$4:$B$8,'Control Panel'!$C$4:$C$8,"0")</f>
        <v>0.9</v>
      </c>
      <c r="E103">
        <f>_xlfn.XLOOKUP(B103, 'Control Panel'!$B$11:$B$17,'Control Panel'!$C$11:$C$17,"0")</f>
        <v>0.95</v>
      </c>
      <c r="G103" s="9" t="str">
        <f>_xlfn.XLOOKUP(F103, 'Control Panel'!$B$20:$B$26,'Control Panel'!$C$20:$C$26,"0")</f>
        <v>0</v>
      </c>
      <c r="H103">
        <v>0</v>
      </c>
      <c r="I103">
        <f t="shared" si="1"/>
        <v>0.85499999999999998</v>
      </c>
      <c r="J103">
        <f>MAX(300,SUM('Control Panel'!$B$1*I103))</f>
        <v>300</v>
      </c>
    </row>
    <row r="104" spans="1:10" x14ac:dyDescent="0.25">
      <c r="A104" s="5">
        <v>46121</v>
      </c>
      <c r="B104" s="7" t="s">
        <v>5</v>
      </c>
      <c r="C104" s="9" t="s">
        <v>15</v>
      </c>
      <c r="D104">
        <f>_xlfn.XLOOKUP(C104, 'Control Panel'!$B$4:$B$8,'Control Panel'!$C$4:$C$8,"0")</f>
        <v>0.9</v>
      </c>
      <c r="E104">
        <f>_xlfn.XLOOKUP(B104, 'Control Panel'!$B$11:$B$17,'Control Panel'!$C$11:$C$17,"0")</f>
        <v>0.95</v>
      </c>
      <c r="G104" s="9" t="str">
        <f>_xlfn.XLOOKUP(F104, 'Control Panel'!$B$20:$B$26,'Control Panel'!$C$20:$C$26,"0")</f>
        <v>0</v>
      </c>
      <c r="H104">
        <v>0</v>
      </c>
      <c r="I104">
        <f t="shared" si="1"/>
        <v>0.85499999999999998</v>
      </c>
      <c r="J104">
        <f>MAX(300,SUM('Control Panel'!$B$1*I104))</f>
        <v>300</v>
      </c>
    </row>
    <row r="105" spans="1:10" x14ac:dyDescent="0.25">
      <c r="A105" s="5">
        <v>46122</v>
      </c>
      <c r="B105" s="7" t="s">
        <v>8</v>
      </c>
      <c r="C105" s="9" t="s">
        <v>15</v>
      </c>
      <c r="D105">
        <f>_xlfn.XLOOKUP(C105, 'Control Panel'!$B$4:$B$8,'Control Panel'!$C$4:$C$8,"0")</f>
        <v>0.9</v>
      </c>
      <c r="E105">
        <f>_xlfn.XLOOKUP(B105, 'Control Panel'!$B$11:$B$17,'Control Panel'!$C$11:$C$17,"0")</f>
        <v>1.1000000000000001</v>
      </c>
      <c r="G105" s="9" t="str">
        <f>_xlfn.XLOOKUP(F105, 'Control Panel'!$B$20:$B$26,'Control Panel'!$C$20:$C$26,"0")</f>
        <v>0</v>
      </c>
      <c r="H105">
        <v>0</v>
      </c>
      <c r="I105">
        <f t="shared" si="1"/>
        <v>0.9900000000000001</v>
      </c>
      <c r="J105">
        <f>MAX(300,SUM('Control Panel'!$B$1*I105))</f>
        <v>300</v>
      </c>
    </row>
    <row r="106" spans="1:10" x14ac:dyDescent="0.25">
      <c r="A106" s="5">
        <v>46123</v>
      </c>
      <c r="B106" s="7" t="s">
        <v>9</v>
      </c>
      <c r="C106" s="9" t="s">
        <v>15</v>
      </c>
      <c r="D106">
        <f>_xlfn.XLOOKUP(C106, 'Control Panel'!$B$4:$B$8,'Control Panel'!$C$4:$C$8,"0")</f>
        <v>0.9</v>
      </c>
      <c r="E106">
        <f>_xlfn.XLOOKUP(B106, 'Control Panel'!$B$11:$B$17,'Control Panel'!$C$11:$C$17,"0")</f>
        <v>1.25</v>
      </c>
      <c r="G106" s="9" t="str">
        <f>_xlfn.XLOOKUP(F106, 'Control Panel'!$B$20:$B$26,'Control Panel'!$C$20:$C$26,"0")</f>
        <v>0</v>
      </c>
      <c r="H106">
        <v>0</v>
      </c>
      <c r="I106">
        <f t="shared" si="1"/>
        <v>1.125</v>
      </c>
      <c r="J106">
        <f>MAX(300,SUM('Control Panel'!$B$1*I106))</f>
        <v>337.5</v>
      </c>
    </row>
    <row r="107" spans="1:10" x14ac:dyDescent="0.25">
      <c r="A107" s="5">
        <v>46124</v>
      </c>
      <c r="B107" s="7" t="s">
        <v>10</v>
      </c>
      <c r="C107" s="9" t="s">
        <v>15</v>
      </c>
      <c r="D107">
        <f>_xlfn.XLOOKUP(C107, 'Control Panel'!$B$4:$B$8,'Control Panel'!$C$4:$C$8,"0")</f>
        <v>0.9</v>
      </c>
      <c r="E107">
        <f>_xlfn.XLOOKUP(B107, 'Control Panel'!$B$11:$B$17,'Control Panel'!$C$11:$C$17,"0")</f>
        <v>1.05</v>
      </c>
      <c r="G107" s="9" t="str">
        <f>_xlfn.XLOOKUP(F107, 'Control Panel'!$B$20:$B$26,'Control Panel'!$C$20:$C$26,"0")</f>
        <v>0</v>
      </c>
      <c r="H107">
        <v>0</v>
      </c>
      <c r="I107">
        <f t="shared" si="1"/>
        <v>0.94500000000000006</v>
      </c>
      <c r="J107">
        <f>MAX(300,SUM('Control Panel'!$B$1*I107))</f>
        <v>300</v>
      </c>
    </row>
    <row r="108" spans="1:10" s="18" customFormat="1" x14ac:dyDescent="0.25">
      <c r="A108" s="15">
        <v>46125</v>
      </c>
      <c r="B108" s="16" t="s">
        <v>11</v>
      </c>
      <c r="C108" s="17" t="s">
        <v>15</v>
      </c>
      <c r="D108">
        <f>_xlfn.XLOOKUP(C108, 'Control Panel'!$B$4:$B$8,'Control Panel'!$C$4:$C$8,"0")</f>
        <v>0.9</v>
      </c>
      <c r="E108">
        <f>_xlfn.XLOOKUP(B108, 'Control Panel'!$B$11:$B$17,'Control Panel'!$C$11:$C$17,"0")</f>
        <v>0.95</v>
      </c>
      <c r="G108" s="17" t="str">
        <f>_xlfn.XLOOKUP(F108, 'Control Panel'!$B$20:$B$26,'Control Panel'!$C$20:$C$26,"0")</f>
        <v>0</v>
      </c>
      <c r="H108" s="18">
        <v>0</v>
      </c>
      <c r="I108" s="18">
        <f t="shared" si="1"/>
        <v>0.85499999999999998</v>
      </c>
      <c r="J108" s="18">
        <f>MAX(300,SUM('Control Panel'!$B$1*I108))</f>
        <v>300</v>
      </c>
    </row>
    <row r="109" spans="1:10" s="18" customFormat="1" x14ac:dyDescent="0.25">
      <c r="A109" s="15">
        <v>46126</v>
      </c>
      <c r="B109" s="16" t="s">
        <v>12</v>
      </c>
      <c r="C109" s="17" t="s">
        <v>15</v>
      </c>
      <c r="D109">
        <f>_xlfn.XLOOKUP(C109, 'Control Panel'!$B$4:$B$8,'Control Panel'!$C$4:$C$8,"0")</f>
        <v>0.9</v>
      </c>
      <c r="E109">
        <f>_xlfn.XLOOKUP(B109, 'Control Panel'!$B$11:$B$17,'Control Panel'!$C$11:$C$17,"0")</f>
        <v>0.95</v>
      </c>
      <c r="G109" s="17" t="str">
        <f>_xlfn.XLOOKUP(F109, 'Control Panel'!$B$20:$B$26,'Control Panel'!$C$20:$C$26,"0")</f>
        <v>0</v>
      </c>
      <c r="H109" s="18">
        <v>0</v>
      </c>
      <c r="I109" s="18">
        <f t="shared" si="1"/>
        <v>0.85499999999999998</v>
      </c>
      <c r="J109" s="18">
        <f>MAX(300,SUM('Control Panel'!$B$1*I109))</f>
        <v>300</v>
      </c>
    </row>
    <row r="110" spans="1:10" s="18" customFormat="1" x14ac:dyDescent="0.25">
      <c r="A110" s="15">
        <v>46127</v>
      </c>
      <c r="B110" s="16" t="s">
        <v>13</v>
      </c>
      <c r="C110" s="17" t="s">
        <v>15</v>
      </c>
      <c r="D110">
        <f>_xlfn.XLOOKUP(C110, 'Control Panel'!$B$4:$B$8,'Control Panel'!$C$4:$C$8,"0")</f>
        <v>0.9</v>
      </c>
      <c r="E110">
        <f>_xlfn.XLOOKUP(B110, 'Control Panel'!$B$11:$B$17,'Control Panel'!$C$11:$C$17,"0")</f>
        <v>0.95</v>
      </c>
      <c r="G110" s="17" t="str">
        <f>_xlfn.XLOOKUP(F110, 'Control Panel'!$B$20:$B$26,'Control Panel'!$C$20:$C$26,"0")</f>
        <v>0</v>
      </c>
      <c r="H110" s="18">
        <v>0</v>
      </c>
      <c r="I110" s="18">
        <f t="shared" si="1"/>
        <v>0.85499999999999998</v>
      </c>
      <c r="J110" s="18">
        <f>MAX(300,SUM('Control Panel'!$B$1*I110))</f>
        <v>300</v>
      </c>
    </row>
    <row r="111" spans="1:10" s="18" customFormat="1" x14ac:dyDescent="0.25">
      <c r="A111" s="15">
        <v>46128</v>
      </c>
      <c r="B111" s="16" t="s">
        <v>5</v>
      </c>
      <c r="C111" s="17" t="s">
        <v>15</v>
      </c>
      <c r="D111">
        <f>_xlfn.XLOOKUP(C111, 'Control Panel'!$B$4:$B$8,'Control Panel'!$C$4:$C$8,"0")</f>
        <v>0.9</v>
      </c>
      <c r="E111">
        <f>_xlfn.XLOOKUP(B111, 'Control Panel'!$B$11:$B$17,'Control Panel'!$C$11:$C$17,"0")</f>
        <v>0.95</v>
      </c>
      <c r="G111" s="17" t="str">
        <f>_xlfn.XLOOKUP(F111, 'Control Panel'!$B$20:$B$26,'Control Panel'!$C$20:$C$26,"0")</f>
        <v>0</v>
      </c>
      <c r="H111" s="18">
        <v>0</v>
      </c>
      <c r="I111" s="18">
        <f t="shared" si="1"/>
        <v>0.85499999999999998</v>
      </c>
      <c r="J111" s="18">
        <f>MAX(300,SUM('Control Panel'!$B$1*I111))</f>
        <v>300</v>
      </c>
    </row>
    <row r="112" spans="1:10" s="18" customFormat="1" x14ac:dyDescent="0.25">
      <c r="A112" s="15">
        <v>46129</v>
      </c>
      <c r="B112" s="16" t="s">
        <v>8</v>
      </c>
      <c r="C112" s="17" t="s">
        <v>15</v>
      </c>
      <c r="D112">
        <f>_xlfn.XLOOKUP(C112, 'Control Panel'!$B$4:$B$8,'Control Panel'!$C$4:$C$8,"0")</f>
        <v>0.9</v>
      </c>
      <c r="E112">
        <f>_xlfn.XLOOKUP(B112, 'Control Panel'!$B$11:$B$17,'Control Panel'!$C$11:$C$17,"0")</f>
        <v>1.1000000000000001</v>
      </c>
      <c r="G112" s="17" t="str">
        <f>_xlfn.XLOOKUP(F112, 'Control Panel'!$B$20:$B$26,'Control Panel'!$C$20:$C$26,"0")</f>
        <v>0</v>
      </c>
      <c r="H112" s="18">
        <v>0</v>
      </c>
      <c r="I112" s="18">
        <f t="shared" si="1"/>
        <v>0.9900000000000001</v>
      </c>
      <c r="J112" s="18">
        <f>MAX(300,SUM('Control Panel'!$B$1*I112))</f>
        <v>300</v>
      </c>
    </row>
    <row r="113" spans="1:10" s="18" customFormat="1" x14ac:dyDescent="0.25">
      <c r="A113" s="15">
        <v>46130</v>
      </c>
      <c r="B113" s="16" t="s">
        <v>9</v>
      </c>
      <c r="C113" s="17" t="s">
        <v>15</v>
      </c>
      <c r="D113">
        <f>_xlfn.XLOOKUP(C113, 'Control Panel'!$B$4:$B$8,'Control Panel'!$C$4:$C$8,"0")</f>
        <v>0.9</v>
      </c>
      <c r="E113">
        <f>_xlfn.XLOOKUP(B113, 'Control Panel'!$B$11:$B$17,'Control Panel'!$C$11:$C$17,"0")</f>
        <v>1.25</v>
      </c>
      <c r="G113" s="17" t="str">
        <f>_xlfn.XLOOKUP(F113, 'Control Panel'!$B$20:$B$26,'Control Panel'!$C$20:$C$26,"0")</f>
        <v>0</v>
      </c>
      <c r="H113" s="18">
        <v>0</v>
      </c>
      <c r="I113" s="18">
        <f t="shared" si="1"/>
        <v>1.125</v>
      </c>
      <c r="J113" s="18">
        <f>MAX(300,SUM('Control Panel'!$B$1*I113))</f>
        <v>337.5</v>
      </c>
    </row>
    <row r="114" spans="1:10" s="18" customFormat="1" x14ac:dyDescent="0.25">
      <c r="A114" s="15">
        <v>46131</v>
      </c>
      <c r="B114" s="16" t="s">
        <v>10</v>
      </c>
      <c r="C114" s="17" t="s">
        <v>15</v>
      </c>
      <c r="D114">
        <f>_xlfn.XLOOKUP(C114, 'Control Panel'!$B$4:$B$8,'Control Panel'!$C$4:$C$8,"0")</f>
        <v>0.9</v>
      </c>
      <c r="E114">
        <f>_xlfn.XLOOKUP(B114, 'Control Panel'!$B$11:$B$17,'Control Panel'!$C$11:$C$17,"0")</f>
        <v>1.05</v>
      </c>
      <c r="G114" s="17" t="str">
        <f>_xlfn.XLOOKUP(F114, 'Control Panel'!$B$20:$B$26,'Control Panel'!$C$20:$C$26,"0")</f>
        <v>0</v>
      </c>
      <c r="H114" s="18">
        <v>0</v>
      </c>
      <c r="I114" s="18">
        <f t="shared" si="1"/>
        <v>0.94500000000000006</v>
      </c>
      <c r="J114" s="18">
        <f>MAX(300,SUM('Control Panel'!$B$1*I114))</f>
        <v>300</v>
      </c>
    </row>
    <row r="115" spans="1:10" x14ac:dyDescent="0.25">
      <c r="A115" s="5">
        <v>46132</v>
      </c>
      <c r="B115" s="7" t="s">
        <v>11</v>
      </c>
      <c r="C115" s="9" t="s">
        <v>15</v>
      </c>
      <c r="D115">
        <f>_xlfn.XLOOKUP(C115, 'Control Panel'!$B$4:$B$8,'Control Panel'!$C$4:$C$8,"0")</f>
        <v>0.9</v>
      </c>
      <c r="E115">
        <f>_xlfn.XLOOKUP(B115, 'Control Panel'!$B$11:$B$17,'Control Panel'!$C$11:$C$17,"0")</f>
        <v>0.95</v>
      </c>
      <c r="G115" s="9" t="str">
        <f>_xlfn.XLOOKUP(F115, 'Control Panel'!$B$20:$B$26,'Control Panel'!$C$20:$C$26,"0")</f>
        <v>0</v>
      </c>
      <c r="H115">
        <v>0</v>
      </c>
      <c r="I115">
        <f t="shared" si="1"/>
        <v>0.85499999999999998</v>
      </c>
      <c r="J115">
        <f>MAX(300,SUM('Control Panel'!$B$1*I115))</f>
        <v>300</v>
      </c>
    </row>
    <row r="116" spans="1:10" x14ac:dyDescent="0.25">
      <c r="A116" s="5">
        <v>46133</v>
      </c>
      <c r="B116" s="7" t="s">
        <v>12</v>
      </c>
      <c r="C116" s="9" t="s">
        <v>15</v>
      </c>
      <c r="D116">
        <f>_xlfn.XLOOKUP(C116, 'Control Panel'!$B$4:$B$8,'Control Panel'!$C$4:$C$8,"0")</f>
        <v>0.9</v>
      </c>
      <c r="E116">
        <f>_xlfn.XLOOKUP(B116, 'Control Panel'!$B$11:$B$17,'Control Panel'!$C$11:$C$17,"0")</f>
        <v>0.95</v>
      </c>
      <c r="G116" s="9" t="str">
        <f>_xlfn.XLOOKUP(F116, 'Control Panel'!$B$20:$B$26,'Control Panel'!$C$20:$C$26,"0")</f>
        <v>0</v>
      </c>
      <c r="H116">
        <v>0</v>
      </c>
      <c r="I116">
        <f t="shared" si="1"/>
        <v>0.85499999999999998</v>
      </c>
      <c r="J116">
        <f>MAX(300,SUM('Control Panel'!$B$1*I116))</f>
        <v>300</v>
      </c>
    </row>
    <row r="117" spans="1:10" x14ac:dyDescent="0.25">
      <c r="A117" s="5">
        <v>46134</v>
      </c>
      <c r="B117" s="7" t="s">
        <v>13</v>
      </c>
      <c r="C117" s="9" t="s">
        <v>15</v>
      </c>
      <c r="D117">
        <f>_xlfn.XLOOKUP(C117, 'Control Panel'!$B$4:$B$8,'Control Panel'!$C$4:$C$8,"0")</f>
        <v>0.9</v>
      </c>
      <c r="E117">
        <f>_xlfn.XLOOKUP(B117, 'Control Panel'!$B$11:$B$17,'Control Panel'!$C$11:$C$17,"0")</f>
        <v>0.95</v>
      </c>
      <c r="G117" s="9" t="str">
        <f>_xlfn.XLOOKUP(F117, 'Control Panel'!$B$20:$B$26,'Control Panel'!$C$20:$C$26,"0")</f>
        <v>0</v>
      </c>
      <c r="H117">
        <v>0</v>
      </c>
      <c r="I117">
        <f t="shared" si="1"/>
        <v>0.85499999999999998</v>
      </c>
      <c r="J117">
        <f>MAX(300,SUM('Control Panel'!$B$1*I117))</f>
        <v>300</v>
      </c>
    </row>
    <row r="118" spans="1:10" x14ac:dyDescent="0.25">
      <c r="A118" s="5">
        <v>46135</v>
      </c>
      <c r="B118" s="7" t="s">
        <v>5</v>
      </c>
      <c r="C118" s="9" t="s">
        <v>15</v>
      </c>
      <c r="D118">
        <f>_xlfn.XLOOKUP(C118, 'Control Panel'!$B$4:$B$8,'Control Panel'!$C$4:$C$8,"0")</f>
        <v>0.9</v>
      </c>
      <c r="E118">
        <f>_xlfn.XLOOKUP(B118, 'Control Panel'!$B$11:$B$17,'Control Panel'!$C$11:$C$17,"0")</f>
        <v>0.95</v>
      </c>
      <c r="G118" s="9" t="str">
        <f>_xlfn.XLOOKUP(F118, 'Control Panel'!$B$20:$B$26,'Control Panel'!$C$20:$C$26,"0")</f>
        <v>0</v>
      </c>
      <c r="H118">
        <v>0</v>
      </c>
      <c r="I118">
        <f t="shared" si="1"/>
        <v>0.85499999999999998</v>
      </c>
      <c r="J118">
        <f>MAX(300,SUM('Control Panel'!$B$1*I118))</f>
        <v>300</v>
      </c>
    </row>
    <row r="119" spans="1:10" x14ac:dyDescent="0.25">
      <c r="A119" s="5">
        <v>46136</v>
      </c>
      <c r="B119" s="7" t="s">
        <v>8</v>
      </c>
      <c r="C119" s="9" t="s">
        <v>15</v>
      </c>
      <c r="D119">
        <f>_xlfn.XLOOKUP(C119, 'Control Panel'!$B$4:$B$8,'Control Panel'!$C$4:$C$8,"0")</f>
        <v>0.9</v>
      </c>
      <c r="E119">
        <f>_xlfn.XLOOKUP(B119, 'Control Panel'!$B$11:$B$17,'Control Panel'!$C$11:$C$17,"0")</f>
        <v>1.1000000000000001</v>
      </c>
      <c r="G119" s="9" t="str">
        <f>_xlfn.XLOOKUP(F119, 'Control Panel'!$B$20:$B$26,'Control Panel'!$C$20:$C$26,"0")</f>
        <v>0</v>
      </c>
      <c r="H119">
        <v>0</v>
      </c>
      <c r="I119">
        <f t="shared" si="1"/>
        <v>0.9900000000000001</v>
      </c>
      <c r="J119">
        <f>MAX(300,SUM('Control Panel'!$B$1*I119))</f>
        <v>300</v>
      </c>
    </row>
    <row r="120" spans="1:10" x14ac:dyDescent="0.25">
      <c r="A120" s="5">
        <v>46137</v>
      </c>
      <c r="B120" s="7" t="s">
        <v>9</v>
      </c>
      <c r="C120" s="9" t="s">
        <v>15</v>
      </c>
      <c r="D120">
        <f>_xlfn.XLOOKUP(C120, 'Control Panel'!$B$4:$B$8,'Control Panel'!$C$4:$C$8,"0")</f>
        <v>0.9</v>
      </c>
      <c r="E120">
        <f>_xlfn.XLOOKUP(B120, 'Control Panel'!$B$11:$B$17,'Control Panel'!$C$11:$C$17,"0")</f>
        <v>1.25</v>
      </c>
      <c r="G120" s="9" t="str">
        <f>_xlfn.XLOOKUP(F120, 'Control Panel'!$B$20:$B$26,'Control Panel'!$C$20:$C$26,"0")</f>
        <v>0</v>
      </c>
      <c r="H120">
        <v>0</v>
      </c>
      <c r="I120">
        <f t="shared" si="1"/>
        <v>1.125</v>
      </c>
      <c r="J120">
        <f>MAX(300,SUM('Control Panel'!$B$1*I120))</f>
        <v>337.5</v>
      </c>
    </row>
    <row r="121" spans="1:10" x14ac:dyDescent="0.25">
      <c r="A121" s="5">
        <v>46138</v>
      </c>
      <c r="B121" s="7" t="s">
        <v>10</v>
      </c>
      <c r="C121" s="9" t="s">
        <v>15</v>
      </c>
      <c r="D121">
        <f>_xlfn.XLOOKUP(C121, 'Control Panel'!$B$4:$B$8,'Control Panel'!$C$4:$C$8,"0")</f>
        <v>0.9</v>
      </c>
      <c r="E121">
        <f>_xlfn.XLOOKUP(B121, 'Control Panel'!$B$11:$B$17,'Control Panel'!$C$11:$C$17,"0")</f>
        <v>1.05</v>
      </c>
      <c r="G121" s="9" t="str">
        <f>_xlfn.XLOOKUP(F121, 'Control Panel'!$B$20:$B$26,'Control Panel'!$C$20:$C$26,"0")</f>
        <v>0</v>
      </c>
      <c r="H121">
        <v>0</v>
      </c>
      <c r="I121">
        <f t="shared" si="1"/>
        <v>0.94500000000000006</v>
      </c>
      <c r="J121">
        <f>MAX(300,SUM('Control Panel'!$B$1*I121))</f>
        <v>300</v>
      </c>
    </row>
    <row r="122" spans="1:10" s="18" customFormat="1" x14ac:dyDescent="0.25">
      <c r="A122" s="15">
        <v>46139</v>
      </c>
      <c r="B122" s="16" t="s">
        <v>11</v>
      </c>
      <c r="C122" s="17" t="s">
        <v>15</v>
      </c>
      <c r="D122">
        <f>_xlfn.XLOOKUP(C122, 'Control Panel'!$B$4:$B$8,'Control Panel'!$C$4:$C$8,"0")</f>
        <v>0.9</v>
      </c>
      <c r="E122">
        <f>_xlfn.XLOOKUP(B122, 'Control Panel'!$B$11:$B$17,'Control Panel'!$C$11:$C$17,"0")</f>
        <v>0.95</v>
      </c>
      <c r="G122" s="17" t="str">
        <f>_xlfn.XLOOKUP(F122, 'Control Panel'!$B$20:$B$26,'Control Panel'!$C$20:$C$26,"0")</f>
        <v>0</v>
      </c>
      <c r="H122" s="18">
        <v>0</v>
      </c>
      <c r="I122" s="18">
        <f t="shared" si="1"/>
        <v>0.85499999999999998</v>
      </c>
      <c r="J122" s="18">
        <f>MAX(300,SUM('Control Panel'!$B$1*I122))</f>
        <v>300</v>
      </c>
    </row>
    <row r="123" spans="1:10" s="18" customFormat="1" x14ac:dyDescent="0.25">
      <c r="A123" s="15">
        <v>46140</v>
      </c>
      <c r="B123" s="16" t="s">
        <v>12</v>
      </c>
      <c r="C123" s="17" t="s">
        <v>15</v>
      </c>
      <c r="D123">
        <f>_xlfn.XLOOKUP(C123, 'Control Panel'!$B$4:$B$8,'Control Panel'!$C$4:$C$8,"0")</f>
        <v>0.9</v>
      </c>
      <c r="E123">
        <f>_xlfn.XLOOKUP(B123, 'Control Panel'!$B$11:$B$17,'Control Panel'!$C$11:$C$17,"0")</f>
        <v>0.95</v>
      </c>
      <c r="G123" s="17" t="str">
        <f>_xlfn.XLOOKUP(F123, 'Control Panel'!$B$20:$B$26,'Control Panel'!$C$20:$C$26,"0")</f>
        <v>0</v>
      </c>
      <c r="H123" s="18">
        <v>0</v>
      </c>
      <c r="I123" s="18">
        <f t="shared" si="1"/>
        <v>0.85499999999999998</v>
      </c>
      <c r="J123" s="18">
        <f>MAX(300,SUM('Control Panel'!$B$1*I123))</f>
        <v>300</v>
      </c>
    </row>
    <row r="124" spans="1:10" s="18" customFormat="1" x14ac:dyDescent="0.25">
      <c r="A124" s="15">
        <v>46141</v>
      </c>
      <c r="B124" s="16" t="s">
        <v>13</v>
      </c>
      <c r="C124" s="17" t="s">
        <v>15</v>
      </c>
      <c r="D124">
        <f>_xlfn.XLOOKUP(C124, 'Control Panel'!$B$4:$B$8,'Control Panel'!$C$4:$C$8,"0")</f>
        <v>0.9</v>
      </c>
      <c r="E124">
        <f>_xlfn.XLOOKUP(B124, 'Control Panel'!$B$11:$B$17,'Control Panel'!$C$11:$C$17,"0")</f>
        <v>0.95</v>
      </c>
      <c r="G124" s="17" t="str">
        <f>_xlfn.XLOOKUP(F124, 'Control Panel'!$B$20:$B$26,'Control Panel'!$C$20:$C$26,"0")</f>
        <v>0</v>
      </c>
      <c r="H124" s="18">
        <v>0</v>
      </c>
      <c r="I124" s="18">
        <f t="shared" si="1"/>
        <v>0.85499999999999998</v>
      </c>
      <c r="J124" s="18">
        <f>MAX(300,SUM('Control Panel'!$B$1*I124))</f>
        <v>300</v>
      </c>
    </row>
    <row r="125" spans="1:10" s="18" customFormat="1" x14ac:dyDescent="0.25">
      <c r="A125" s="15">
        <v>46142</v>
      </c>
      <c r="B125" s="16" t="s">
        <v>5</v>
      </c>
      <c r="C125" s="17" t="s">
        <v>15</v>
      </c>
      <c r="D125">
        <f>_xlfn.XLOOKUP(C125, 'Control Panel'!$B$4:$B$8,'Control Panel'!$C$4:$C$8,"0")</f>
        <v>0.9</v>
      </c>
      <c r="E125">
        <f>_xlfn.XLOOKUP(B125, 'Control Panel'!$B$11:$B$17,'Control Panel'!$C$11:$C$17,"0")</f>
        <v>0.95</v>
      </c>
      <c r="G125" s="17" t="str">
        <f>_xlfn.XLOOKUP(F125, 'Control Panel'!$B$20:$B$26,'Control Panel'!$C$20:$C$26,"0")</f>
        <v>0</v>
      </c>
      <c r="H125" s="18">
        <v>0</v>
      </c>
      <c r="I125" s="18">
        <f t="shared" si="1"/>
        <v>0.85499999999999998</v>
      </c>
      <c r="J125" s="18">
        <f>MAX(300,SUM('Control Panel'!$B$1*I125))</f>
        <v>300</v>
      </c>
    </row>
    <row r="126" spans="1:10" s="18" customFormat="1" x14ac:dyDescent="0.25">
      <c r="A126" s="10" t="s">
        <v>36</v>
      </c>
      <c r="B126" s="13"/>
      <c r="C126" s="14"/>
      <c r="D126"/>
      <c r="E126"/>
      <c r="G126" s="17" t="str">
        <f>_xlfn.XLOOKUP(F126, 'Control Panel'!$B$20:$B$26,'Control Panel'!$C$20:$C$26,"0")</f>
        <v>0</v>
      </c>
    </row>
    <row r="127" spans="1:10" s="18" customFormat="1" x14ac:dyDescent="0.25">
      <c r="A127" s="15">
        <v>46143</v>
      </c>
      <c r="B127" s="16" t="s">
        <v>8</v>
      </c>
      <c r="C127" s="17" t="s">
        <v>15</v>
      </c>
      <c r="D127">
        <f>_xlfn.XLOOKUP(C127, 'Control Panel'!$B$4:$B$8,'Control Panel'!$C$4:$C$8,"0")</f>
        <v>0.9</v>
      </c>
      <c r="E127">
        <f>_xlfn.XLOOKUP(B127, 'Control Panel'!$B$11:$B$17,'Control Panel'!$C$11:$C$17,"0")</f>
        <v>1.1000000000000001</v>
      </c>
      <c r="G127" s="17" t="str">
        <f>_xlfn.XLOOKUP(F127, 'Control Panel'!$B$20:$B$26,'Control Panel'!$C$20:$C$26,"0")</f>
        <v>0</v>
      </c>
      <c r="H127" s="18">
        <v>0</v>
      </c>
      <c r="I127" s="18">
        <f t="shared" si="1"/>
        <v>0.9900000000000001</v>
      </c>
      <c r="J127" s="18">
        <f>MAX(300,SUM('Control Panel'!$B$1*I127))</f>
        <v>300</v>
      </c>
    </row>
    <row r="128" spans="1:10" s="18" customFormat="1" x14ac:dyDescent="0.25">
      <c r="A128" s="15">
        <v>46144</v>
      </c>
      <c r="B128" s="16" t="s">
        <v>9</v>
      </c>
      <c r="C128" s="17" t="s">
        <v>15</v>
      </c>
      <c r="D128">
        <f>_xlfn.XLOOKUP(C128, 'Control Panel'!$B$4:$B$8,'Control Panel'!$C$4:$C$8,"0")</f>
        <v>0.9</v>
      </c>
      <c r="E128">
        <f>_xlfn.XLOOKUP(B128, 'Control Panel'!$B$11:$B$17,'Control Panel'!$C$11:$C$17,"0")</f>
        <v>1.25</v>
      </c>
      <c r="G128" s="17" t="str">
        <f>_xlfn.XLOOKUP(F128, 'Control Panel'!$B$20:$B$26,'Control Panel'!$C$20:$C$26,"0")</f>
        <v>0</v>
      </c>
      <c r="H128" s="18">
        <v>0</v>
      </c>
      <c r="I128" s="18">
        <f t="shared" si="1"/>
        <v>1.125</v>
      </c>
      <c r="J128" s="18">
        <f>MAX(300,SUM('Control Panel'!$B$1*I128))</f>
        <v>337.5</v>
      </c>
    </row>
    <row r="129" spans="1:10" s="18" customFormat="1" x14ac:dyDescent="0.25">
      <c r="A129" s="15">
        <v>46145</v>
      </c>
      <c r="B129" s="16" t="s">
        <v>10</v>
      </c>
      <c r="C129" s="17" t="s">
        <v>15</v>
      </c>
      <c r="D129">
        <f>_xlfn.XLOOKUP(C129, 'Control Panel'!$B$4:$B$8,'Control Panel'!$C$4:$C$8,"0")</f>
        <v>0.9</v>
      </c>
      <c r="E129">
        <f>_xlfn.XLOOKUP(B129, 'Control Panel'!$B$11:$B$17,'Control Panel'!$C$11:$C$17,"0")</f>
        <v>1.05</v>
      </c>
      <c r="G129" s="17" t="str">
        <f>_xlfn.XLOOKUP(F129, 'Control Panel'!$B$20:$B$26,'Control Panel'!$C$20:$C$26,"0")</f>
        <v>0</v>
      </c>
      <c r="H129" s="18">
        <v>0</v>
      </c>
      <c r="I129" s="18">
        <f t="shared" si="1"/>
        <v>0.94500000000000006</v>
      </c>
      <c r="J129" s="18">
        <f>MAX(300,SUM('Control Panel'!$B$1*I129))</f>
        <v>300</v>
      </c>
    </row>
    <row r="130" spans="1:10" x14ac:dyDescent="0.25">
      <c r="A130" s="5">
        <v>46146</v>
      </c>
      <c r="B130" s="7" t="s">
        <v>11</v>
      </c>
      <c r="C130" s="9" t="s">
        <v>15</v>
      </c>
      <c r="D130">
        <f>_xlfn.XLOOKUP(C130, 'Control Panel'!$B$4:$B$8,'Control Panel'!$C$4:$C$8,"0")</f>
        <v>0.9</v>
      </c>
      <c r="E130">
        <f>_xlfn.XLOOKUP(B130, 'Control Panel'!$B$11:$B$17,'Control Panel'!$C$11:$C$17,"0")</f>
        <v>0.95</v>
      </c>
      <c r="G130" s="9" t="str">
        <f>_xlfn.XLOOKUP(F130, 'Control Panel'!$B$20:$B$26,'Control Panel'!$C$20:$C$26,"0")</f>
        <v>0</v>
      </c>
      <c r="H130">
        <v>0</v>
      </c>
      <c r="I130">
        <f t="shared" si="1"/>
        <v>0.85499999999999998</v>
      </c>
      <c r="J130">
        <f>MAX(300,SUM('Control Panel'!$B$1*I130))</f>
        <v>300</v>
      </c>
    </row>
    <row r="131" spans="1:10" x14ac:dyDescent="0.25">
      <c r="A131" s="5">
        <v>46147</v>
      </c>
      <c r="B131" s="7" t="s">
        <v>12</v>
      </c>
      <c r="C131" s="9" t="s">
        <v>15</v>
      </c>
      <c r="D131">
        <f>_xlfn.XLOOKUP(C131, 'Control Panel'!$B$4:$B$8,'Control Panel'!$C$4:$C$8,"0")</f>
        <v>0.9</v>
      </c>
      <c r="E131">
        <f>_xlfn.XLOOKUP(B131, 'Control Panel'!$B$11:$B$17,'Control Panel'!$C$11:$C$17,"0")</f>
        <v>0.95</v>
      </c>
      <c r="G131" s="9" t="str">
        <f>_xlfn.XLOOKUP(F131, 'Control Panel'!$B$20:$B$26,'Control Panel'!$C$20:$C$26,"0")</f>
        <v>0</v>
      </c>
      <c r="H131">
        <v>0</v>
      </c>
      <c r="I131">
        <f t="shared" si="1"/>
        <v>0.85499999999999998</v>
      </c>
      <c r="J131">
        <f>MAX(300,SUM('Control Panel'!$B$1*I131))</f>
        <v>300</v>
      </c>
    </row>
    <row r="132" spans="1:10" x14ac:dyDescent="0.25">
      <c r="A132" s="5">
        <v>46148</v>
      </c>
      <c r="B132" s="7" t="s">
        <v>13</v>
      </c>
      <c r="C132" s="9" t="s">
        <v>15</v>
      </c>
      <c r="D132">
        <f>_xlfn.XLOOKUP(C132, 'Control Panel'!$B$4:$B$8,'Control Panel'!$C$4:$C$8,"0")</f>
        <v>0.9</v>
      </c>
      <c r="E132">
        <f>_xlfn.XLOOKUP(B132, 'Control Panel'!$B$11:$B$17,'Control Panel'!$C$11:$C$17,"0")</f>
        <v>0.95</v>
      </c>
      <c r="G132" s="9" t="str">
        <f>_xlfn.XLOOKUP(F132, 'Control Panel'!$B$20:$B$26,'Control Panel'!$C$20:$C$26,"0")</f>
        <v>0</v>
      </c>
      <c r="H132">
        <v>0</v>
      </c>
      <c r="I132">
        <f t="shared" si="1"/>
        <v>0.85499999999999998</v>
      </c>
      <c r="J132">
        <f>MAX(300,SUM('Control Panel'!$B$1*I132))</f>
        <v>300</v>
      </c>
    </row>
    <row r="133" spans="1:10" x14ac:dyDescent="0.25">
      <c r="A133" s="5">
        <v>46149</v>
      </c>
      <c r="B133" s="7" t="s">
        <v>5</v>
      </c>
      <c r="C133" s="9" t="s">
        <v>15</v>
      </c>
      <c r="D133">
        <f>_xlfn.XLOOKUP(C133, 'Control Panel'!$B$4:$B$8,'Control Panel'!$C$4:$C$8,"0")</f>
        <v>0.9</v>
      </c>
      <c r="E133">
        <f>_xlfn.XLOOKUP(B133, 'Control Panel'!$B$11:$B$17,'Control Panel'!$C$11:$C$17,"0")</f>
        <v>0.95</v>
      </c>
      <c r="G133" s="9" t="str">
        <f>_xlfn.XLOOKUP(F133, 'Control Panel'!$B$20:$B$26,'Control Panel'!$C$20:$C$26,"0")</f>
        <v>0</v>
      </c>
      <c r="H133">
        <v>0</v>
      </c>
      <c r="I133">
        <f t="shared" si="1"/>
        <v>0.85499999999999998</v>
      </c>
      <c r="J133">
        <f>MAX(300,SUM('Control Panel'!$B$1*I133))</f>
        <v>300</v>
      </c>
    </row>
    <row r="134" spans="1:10" x14ac:dyDescent="0.25">
      <c r="A134" s="5">
        <v>46150</v>
      </c>
      <c r="B134" s="7" t="s">
        <v>8</v>
      </c>
      <c r="C134" s="9" t="s">
        <v>15</v>
      </c>
      <c r="D134">
        <f>_xlfn.XLOOKUP(C134, 'Control Panel'!$B$4:$B$8,'Control Panel'!$C$4:$C$8,"0")</f>
        <v>0.9</v>
      </c>
      <c r="E134">
        <f>_xlfn.XLOOKUP(B134, 'Control Panel'!$B$11:$B$17,'Control Panel'!$C$11:$C$17,"0")</f>
        <v>1.1000000000000001</v>
      </c>
      <c r="G134" s="9" t="str">
        <f>_xlfn.XLOOKUP(F134, 'Control Panel'!$B$20:$B$26,'Control Panel'!$C$20:$C$26,"0")</f>
        <v>0</v>
      </c>
      <c r="H134">
        <v>0</v>
      </c>
      <c r="I134">
        <f t="shared" si="1"/>
        <v>0.9900000000000001</v>
      </c>
      <c r="J134">
        <f>MAX(300,SUM('Control Panel'!$B$1*I134))</f>
        <v>300</v>
      </c>
    </row>
    <row r="135" spans="1:10" x14ac:dyDescent="0.25">
      <c r="A135" s="5">
        <v>46151</v>
      </c>
      <c r="B135" s="7" t="s">
        <v>9</v>
      </c>
      <c r="C135" s="9" t="s">
        <v>15</v>
      </c>
      <c r="D135">
        <f>_xlfn.XLOOKUP(C135, 'Control Panel'!$B$4:$B$8,'Control Panel'!$C$4:$C$8,"0")</f>
        <v>0.9</v>
      </c>
      <c r="E135">
        <f>_xlfn.XLOOKUP(B135, 'Control Panel'!$B$11:$B$17,'Control Panel'!$C$11:$C$17,"0")</f>
        <v>1.25</v>
      </c>
      <c r="G135" s="9" t="str">
        <f>_xlfn.XLOOKUP(F135, 'Control Panel'!$B$20:$B$26,'Control Panel'!$C$20:$C$26,"0")</f>
        <v>0</v>
      </c>
      <c r="H135">
        <v>0</v>
      </c>
      <c r="I135">
        <f t="shared" si="1"/>
        <v>1.125</v>
      </c>
      <c r="J135">
        <f>MAX(300,SUM('Control Panel'!$B$1*I135))</f>
        <v>337.5</v>
      </c>
    </row>
    <row r="136" spans="1:10" x14ac:dyDescent="0.25">
      <c r="A136" s="5">
        <v>46152</v>
      </c>
      <c r="B136" s="7" t="s">
        <v>10</v>
      </c>
      <c r="C136" s="9" t="s">
        <v>15</v>
      </c>
      <c r="D136">
        <f>_xlfn.XLOOKUP(C136, 'Control Panel'!$B$4:$B$8,'Control Panel'!$C$4:$C$8,"0")</f>
        <v>0.9</v>
      </c>
      <c r="E136">
        <f>_xlfn.XLOOKUP(B136, 'Control Panel'!$B$11:$B$17,'Control Panel'!$C$11:$C$17,"0")</f>
        <v>1.05</v>
      </c>
      <c r="G136" s="9" t="str">
        <f>_xlfn.XLOOKUP(F136, 'Control Panel'!$B$20:$B$26,'Control Panel'!$C$20:$C$26,"0")</f>
        <v>0</v>
      </c>
      <c r="H136">
        <v>0</v>
      </c>
      <c r="I136">
        <f t="shared" si="1"/>
        <v>0.94500000000000006</v>
      </c>
      <c r="J136">
        <f>MAX(300,SUM('Control Panel'!$B$1*I136))</f>
        <v>300</v>
      </c>
    </row>
    <row r="137" spans="1:10" s="18" customFormat="1" x14ac:dyDescent="0.25">
      <c r="A137" s="15">
        <v>46153</v>
      </c>
      <c r="B137" s="16" t="s">
        <v>11</v>
      </c>
      <c r="C137" s="17" t="s">
        <v>15</v>
      </c>
      <c r="D137">
        <f>_xlfn.XLOOKUP(C137, 'Control Panel'!$B$4:$B$8,'Control Panel'!$C$4:$C$8,"0")</f>
        <v>0.9</v>
      </c>
      <c r="E137">
        <f>_xlfn.XLOOKUP(B137, 'Control Panel'!$B$11:$B$17,'Control Panel'!$C$11:$C$17,"0")</f>
        <v>0.95</v>
      </c>
      <c r="G137" s="17" t="str">
        <f>_xlfn.XLOOKUP(F137, 'Control Panel'!$B$20:$B$26,'Control Panel'!$C$20:$C$26,"0")</f>
        <v>0</v>
      </c>
      <c r="H137" s="18">
        <v>0</v>
      </c>
      <c r="I137" s="18">
        <f t="shared" ref="I137:I202" si="2">(D137*E137)+G137+H137</f>
        <v>0.85499999999999998</v>
      </c>
      <c r="J137" s="18">
        <f>MAX(300,SUM('Control Panel'!$B$1*I137))</f>
        <v>300</v>
      </c>
    </row>
    <row r="138" spans="1:10" s="18" customFormat="1" x14ac:dyDescent="0.25">
      <c r="A138" s="15">
        <v>46154</v>
      </c>
      <c r="B138" s="16" t="s">
        <v>12</v>
      </c>
      <c r="C138" s="17" t="s">
        <v>15</v>
      </c>
      <c r="D138">
        <f>_xlfn.XLOOKUP(C138, 'Control Panel'!$B$4:$B$8,'Control Panel'!$C$4:$C$8,"0")</f>
        <v>0.9</v>
      </c>
      <c r="E138">
        <f>_xlfn.XLOOKUP(B138, 'Control Panel'!$B$11:$B$17,'Control Panel'!$C$11:$C$17,"0")</f>
        <v>0.95</v>
      </c>
      <c r="G138" s="17" t="str">
        <f>_xlfn.XLOOKUP(F138, 'Control Panel'!$B$20:$B$26,'Control Panel'!$C$20:$C$26,"0")</f>
        <v>0</v>
      </c>
      <c r="H138" s="18">
        <v>0</v>
      </c>
      <c r="I138" s="18">
        <f t="shared" si="2"/>
        <v>0.85499999999999998</v>
      </c>
      <c r="J138" s="18">
        <f>MAX(300,SUM('Control Panel'!$B$1*I138))</f>
        <v>300</v>
      </c>
    </row>
    <row r="139" spans="1:10" s="18" customFormat="1" x14ac:dyDescent="0.25">
      <c r="A139" s="15">
        <v>46155</v>
      </c>
      <c r="B139" s="16" t="s">
        <v>13</v>
      </c>
      <c r="C139" s="17" t="s">
        <v>15</v>
      </c>
      <c r="D139">
        <f>_xlfn.XLOOKUP(C139, 'Control Panel'!$B$4:$B$8,'Control Panel'!$C$4:$C$8,"0")</f>
        <v>0.9</v>
      </c>
      <c r="E139">
        <f>_xlfn.XLOOKUP(B139, 'Control Panel'!$B$11:$B$17,'Control Panel'!$C$11:$C$17,"0")</f>
        <v>0.95</v>
      </c>
      <c r="G139" s="17" t="str">
        <f>_xlfn.XLOOKUP(F139, 'Control Panel'!$B$20:$B$26,'Control Panel'!$C$20:$C$26,"0")</f>
        <v>0</v>
      </c>
      <c r="H139" s="18">
        <v>0</v>
      </c>
      <c r="I139" s="18">
        <f t="shared" si="2"/>
        <v>0.85499999999999998</v>
      </c>
      <c r="J139" s="18">
        <f>MAX(300,SUM('Control Panel'!$B$1*I139))</f>
        <v>300</v>
      </c>
    </row>
    <row r="140" spans="1:10" s="18" customFormat="1" x14ac:dyDescent="0.25">
      <c r="A140" s="15">
        <v>46156</v>
      </c>
      <c r="B140" s="16" t="s">
        <v>5</v>
      </c>
      <c r="C140" s="17" t="s">
        <v>15</v>
      </c>
      <c r="D140">
        <f>_xlfn.XLOOKUP(C140, 'Control Panel'!$B$4:$B$8,'Control Panel'!$C$4:$C$8,"0")</f>
        <v>0.9</v>
      </c>
      <c r="E140">
        <f>_xlfn.XLOOKUP(B140, 'Control Panel'!$B$11:$B$17,'Control Panel'!$C$11:$C$17,"0")</f>
        <v>0.95</v>
      </c>
      <c r="G140" s="17" t="str">
        <f>_xlfn.XLOOKUP(F140, 'Control Panel'!$B$20:$B$26,'Control Panel'!$C$20:$C$26,"0")</f>
        <v>0</v>
      </c>
      <c r="H140" s="18">
        <v>0</v>
      </c>
      <c r="I140" s="18">
        <f t="shared" si="2"/>
        <v>0.85499999999999998</v>
      </c>
      <c r="J140" s="18">
        <f>MAX(300,SUM('Control Panel'!$B$1*I140))</f>
        <v>300</v>
      </c>
    </row>
    <row r="141" spans="1:10" s="18" customFormat="1" x14ac:dyDescent="0.25">
      <c r="A141" s="15">
        <v>46157</v>
      </c>
      <c r="B141" s="16" t="s">
        <v>8</v>
      </c>
      <c r="C141" s="17" t="s">
        <v>15</v>
      </c>
      <c r="D141">
        <f>_xlfn.XLOOKUP(C141, 'Control Panel'!$B$4:$B$8,'Control Panel'!$C$4:$C$8,"0")</f>
        <v>0.9</v>
      </c>
      <c r="E141">
        <f>_xlfn.XLOOKUP(B141, 'Control Panel'!$B$11:$B$17,'Control Panel'!$C$11:$C$17,"0")</f>
        <v>1.1000000000000001</v>
      </c>
      <c r="G141" s="17" t="str">
        <f>_xlfn.XLOOKUP(F141, 'Control Panel'!$B$20:$B$26,'Control Panel'!$C$20:$C$26,"0")</f>
        <v>0</v>
      </c>
      <c r="H141" s="18">
        <v>0</v>
      </c>
      <c r="I141" s="18">
        <f t="shared" si="2"/>
        <v>0.9900000000000001</v>
      </c>
      <c r="J141" s="18">
        <f>MAX(300,SUM('Control Panel'!$B$1*I141))</f>
        <v>300</v>
      </c>
    </row>
    <row r="142" spans="1:10" s="18" customFormat="1" x14ac:dyDescent="0.25">
      <c r="A142" s="15">
        <v>46158</v>
      </c>
      <c r="B142" s="16" t="s">
        <v>9</v>
      </c>
      <c r="C142" s="17" t="s">
        <v>15</v>
      </c>
      <c r="D142">
        <f>_xlfn.XLOOKUP(C142, 'Control Panel'!$B$4:$B$8,'Control Panel'!$C$4:$C$8,"0")</f>
        <v>0.9</v>
      </c>
      <c r="E142">
        <f>_xlfn.XLOOKUP(B142, 'Control Panel'!$B$11:$B$17,'Control Panel'!$C$11:$C$17,"0")</f>
        <v>1.25</v>
      </c>
      <c r="G142" s="17" t="str">
        <f>_xlfn.XLOOKUP(F142, 'Control Panel'!$B$20:$B$26,'Control Panel'!$C$20:$C$26,"0")</f>
        <v>0</v>
      </c>
      <c r="H142" s="18">
        <v>0</v>
      </c>
      <c r="I142" s="18">
        <f t="shared" si="2"/>
        <v>1.125</v>
      </c>
      <c r="J142" s="18">
        <f>MAX(300,SUM('Control Panel'!$B$1*I142))</f>
        <v>337.5</v>
      </c>
    </row>
    <row r="143" spans="1:10" s="18" customFormat="1" x14ac:dyDescent="0.25">
      <c r="A143" s="15">
        <v>46159</v>
      </c>
      <c r="B143" s="16" t="s">
        <v>10</v>
      </c>
      <c r="C143" s="17" t="s">
        <v>15</v>
      </c>
      <c r="D143">
        <f>_xlfn.XLOOKUP(C143, 'Control Panel'!$B$4:$B$8,'Control Panel'!$C$4:$C$8,"0")</f>
        <v>0.9</v>
      </c>
      <c r="E143">
        <f>_xlfn.XLOOKUP(B143, 'Control Panel'!$B$11:$B$17,'Control Panel'!$C$11:$C$17,"0")</f>
        <v>1.05</v>
      </c>
      <c r="G143" s="17" t="str">
        <f>_xlfn.XLOOKUP(F143, 'Control Panel'!$B$20:$B$26,'Control Panel'!$C$20:$C$26,"0")</f>
        <v>0</v>
      </c>
      <c r="H143" s="18">
        <v>0</v>
      </c>
      <c r="I143" s="18">
        <f t="shared" si="2"/>
        <v>0.94500000000000006</v>
      </c>
      <c r="J143" s="18">
        <f>MAX(300,SUM('Control Panel'!$B$1*I143))</f>
        <v>300</v>
      </c>
    </row>
    <row r="144" spans="1:10" x14ac:dyDescent="0.25">
      <c r="A144" s="5">
        <v>46160</v>
      </c>
      <c r="B144" s="7" t="s">
        <v>11</v>
      </c>
      <c r="C144" s="9" t="s">
        <v>15</v>
      </c>
      <c r="D144">
        <f>_xlfn.XLOOKUP(C144, 'Control Panel'!$B$4:$B$8,'Control Panel'!$C$4:$C$8,"0")</f>
        <v>0.9</v>
      </c>
      <c r="E144">
        <f>_xlfn.XLOOKUP(B144, 'Control Panel'!$B$11:$B$17,'Control Panel'!$C$11:$C$17,"0")</f>
        <v>0.95</v>
      </c>
      <c r="G144" s="9" t="str">
        <f>_xlfn.XLOOKUP(F144, 'Control Panel'!$B$20:$B$26,'Control Panel'!$C$20:$C$26,"0")</f>
        <v>0</v>
      </c>
      <c r="H144">
        <v>0</v>
      </c>
      <c r="I144">
        <f t="shared" si="2"/>
        <v>0.85499999999999998</v>
      </c>
      <c r="J144">
        <f>MAX(300,SUM('Control Panel'!$B$1*I144))</f>
        <v>300</v>
      </c>
    </row>
    <row r="145" spans="1:10" x14ac:dyDescent="0.25">
      <c r="A145" s="5">
        <v>46161</v>
      </c>
      <c r="B145" s="7" t="s">
        <v>12</v>
      </c>
      <c r="C145" s="9" t="s">
        <v>15</v>
      </c>
      <c r="D145">
        <f>_xlfn.XLOOKUP(C145, 'Control Panel'!$B$4:$B$8,'Control Panel'!$C$4:$C$8,"0")</f>
        <v>0.9</v>
      </c>
      <c r="E145">
        <f>_xlfn.XLOOKUP(B145, 'Control Panel'!$B$11:$B$17,'Control Panel'!$C$11:$C$17,"0")</f>
        <v>0.95</v>
      </c>
      <c r="G145" s="9" t="str">
        <f>_xlfn.XLOOKUP(F145, 'Control Panel'!$B$20:$B$26,'Control Panel'!$C$20:$C$26,"0")</f>
        <v>0</v>
      </c>
      <c r="H145">
        <v>0</v>
      </c>
      <c r="I145">
        <f t="shared" si="2"/>
        <v>0.85499999999999998</v>
      </c>
      <c r="J145">
        <f>MAX(300,SUM('Control Panel'!$B$1*I145))</f>
        <v>300</v>
      </c>
    </row>
    <row r="146" spans="1:10" x14ac:dyDescent="0.25">
      <c r="A146" s="5">
        <v>46162</v>
      </c>
      <c r="B146" s="7" t="s">
        <v>13</v>
      </c>
      <c r="C146" s="9" t="s">
        <v>15</v>
      </c>
      <c r="D146">
        <f>_xlfn.XLOOKUP(C146, 'Control Panel'!$B$4:$B$8,'Control Panel'!$C$4:$C$8,"0")</f>
        <v>0.9</v>
      </c>
      <c r="E146">
        <f>_xlfn.XLOOKUP(B146, 'Control Panel'!$B$11:$B$17,'Control Panel'!$C$11:$C$17,"0")</f>
        <v>0.95</v>
      </c>
      <c r="G146" s="9" t="str">
        <f>_xlfn.XLOOKUP(F146, 'Control Panel'!$B$20:$B$26,'Control Panel'!$C$20:$C$26,"0")</f>
        <v>0</v>
      </c>
      <c r="H146">
        <v>0</v>
      </c>
      <c r="I146">
        <f t="shared" si="2"/>
        <v>0.85499999999999998</v>
      </c>
      <c r="J146">
        <f>MAX(300,SUM('Control Panel'!$B$1*I146))</f>
        <v>300</v>
      </c>
    </row>
    <row r="147" spans="1:10" x14ac:dyDescent="0.25">
      <c r="A147" s="5">
        <v>46163</v>
      </c>
      <c r="B147" s="7" t="s">
        <v>5</v>
      </c>
      <c r="C147" s="9" t="s">
        <v>15</v>
      </c>
      <c r="D147">
        <f>_xlfn.XLOOKUP(C147, 'Control Panel'!$B$4:$B$8,'Control Panel'!$C$4:$C$8,"0")</f>
        <v>0.9</v>
      </c>
      <c r="E147">
        <f>_xlfn.XLOOKUP(B147, 'Control Panel'!$B$11:$B$17,'Control Panel'!$C$11:$C$17,"0")</f>
        <v>0.95</v>
      </c>
      <c r="G147" s="9" t="str">
        <f>_xlfn.XLOOKUP(F147, 'Control Panel'!$B$20:$B$26,'Control Panel'!$C$20:$C$26,"0")</f>
        <v>0</v>
      </c>
      <c r="H147">
        <v>0</v>
      </c>
      <c r="I147">
        <f t="shared" si="2"/>
        <v>0.85499999999999998</v>
      </c>
      <c r="J147">
        <f>MAX(300,SUM('Control Panel'!$B$1*I147))</f>
        <v>300</v>
      </c>
    </row>
    <row r="148" spans="1:10" x14ac:dyDescent="0.25">
      <c r="A148" s="5">
        <v>46164</v>
      </c>
      <c r="B148" s="7" t="s">
        <v>8</v>
      </c>
      <c r="C148" s="9" t="s">
        <v>15</v>
      </c>
      <c r="D148">
        <f>_xlfn.XLOOKUP(C148, 'Control Panel'!$B$4:$B$8,'Control Panel'!$C$4:$C$8,"0")</f>
        <v>0.9</v>
      </c>
      <c r="E148">
        <f>_xlfn.XLOOKUP(B148, 'Control Panel'!$B$11:$B$17,'Control Panel'!$C$11:$C$17,"0")</f>
        <v>1.1000000000000001</v>
      </c>
      <c r="G148" s="9" t="str">
        <f>_xlfn.XLOOKUP(F148, 'Control Panel'!$B$20:$B$26,'Control Panel'!$C$20:$C$26,"0")</f>
        <v>0</v>
      </c>
      <c r="H148">
        <v>0</v>
      </c>
      <c r="I148">
        <f t="shared" si="2"/>
        <v>0.9900000000000001</v>
      </c>
      <c r="J148">
        <f>MAX(300,SUM('Control Panel'!$B$1*I148))</f>
        <v>300</v>
      </c>
    </row>
    <row r="149" spans="1:10" x14ac:dyDescent="0.25">
      <c r="A149" s="5">
        <v>46165</v>
      </c>
      <c r="B149" s="7" t="s">
        <v>9</v>
      </c>
      <c r="C149" s="9" t="s">
        <v>15</v>
      </c>
      <c r="D149">
        <f>_xlfn.XLOOKUP(C149, 'Control Panel'!$B$4:$B$8,'Control Panel'!$C$4:$C$8,"0")</f>
        <v>0.9</v>
      </c>
      <c r="E149">
        <f>_xlfn.XLOOKUP(B149, 'Control Panel'!$B$11:$B$17,'Control Panel'!$C$11:$C$17,"0")</f>
        <v>1.25</v>
      </c>
      <c r="G149" s="9" t="str">
        <f>_xlfn.XLOOKUP(F149, 'Control Panel'!$B$20:$B$26,'Control Panel'!$C$20:$C$26,"0")</f>
        <v>0</v>
      </c>
      <c r="H149">
        <v>0</v>
      </c>
      <c r="I149">
        <f t="shared" si="2"/>
        <v>1.125</v>
      </c>
      <c r="J149">
        <f>MAX(300,SUM('Control Panel'!$B$1*I149))</f>
        <v>337.5</v>
      </c>
    </row>
    <row r="150" spans="1:10" x14ac:dyDescent="0.25">
      <c r="A150" s="5">
        <v>46166</v>
      </c>
      <c r="B150" s="7" t="s">
        <v>10</v>
      </c>
      <c r="C150" s="9" t="s">
        <v>15</v>
      </c>
      <c r="D150">
        <f>_xlfn.XLOOKUP(C150, 'Control Panel'!$B$4:$B$8,'Control Panel'!$C$4:$C$8,"0")</f>
        <v>0.9</v>
      </c>
      <c r="E150">
        <f>_xlfn.XLOOKUP(B150, 'Control Panel'!$B$11:$B$17,'Control Panel'!$C$11:$C$17,"0")</f>
        <v>1.05</v>
      </c>
      <c r="G150" s="9" t="str">
        <f>_xlfn.XLOOKUP(F150, 'Control Panel'!$B$20:$B$26,'Control Panel'!$C$20:$C$26,"0")</f>
        <v>0</v>
      </c>
      <c r="H150">
        <v>0</v>
      </c>
      <c r="I150">
        <f t="shared" si="2"/>
        <v>0.94500000000000006</v>
      </c>
      <c r="J150">
        <f>MAX(300,SUM('Control Panel'!$B$1*I150))</f>
        <v>300</v>
      </c>
    </row>
    <row r="151" spans="1:10" s="18" customFormat="1" x14ac:dyDescent="0.25">
      <c r="A151" s="15">
        <v>46167</v>
      </c>
      <c r="B151" s="16" t="s">
        <v>11</v>
      </c>
      <c r="C151" s="17" t="s">
        <v>15</v>
      </c>
      <c r="D151">
        <f>_xlfn.XLOOKUP(C151, 'Control Panel'!$B$4:$B$8,'Control Panel'!$C$4:$C$8,"0")</f>
        <v>0.9</v>
      </c>
      <c r="E151">
        <f>_xlfn.XLOOKUP(B151, 'Control Panel'!$B$11:$B$17,'Control Panel'!$C$11:$C$17,"0")</f>
        <v>0.95</v>
      </c>
      <c r="G151" s="17" t="str">
        <f>_xlfn.XLOOKUP(F151, 'Control Panel'!$B$20:$B$26,'Control Panel'!$C$20:$C$26,"0")</f>
        <v>0</v>
      </c>
      <c r="H151" s="18">
        <v>0</v>
      </c>
      <c r="I151" s="18">
        <f t="shared" si="2"/>
        <v>0.85499999999999998</v>
      </c>
      <c r="J151" s="18">
        <f>MAX(300,SUM('Control Panel'!$B$1*I151))</f>
        <v>300</v>
      </c>
    </row>
    <row r="152" spans="1:10" s="18" customFormat="1" x14ac:dyDescent="0.25">
      <c r="A152" s="15">
        <v>46168</v>
      </c>
      <c r="B152" s="16" t="s">
        <v>12</v>
      </c>
      <c r="C152" s="17" t="s">
        <v>15</v>
      </c>
      <c r="D152">
        <f>_xlfn.XLOOKUP(C152, 'Control Panel'!$B$4:$B$8,'Control Panel'!$C$4:$C$8,"0")</f>
        <v>0.9</v>
      </c>
      <c r="E152">
        <f>_xlfn.XLOOKUP(B152, 'Control Panel'!$B$11:$B$17,'Control Panel'!$C$11:$C$17,"0")</f>
        <v>0.95</v>
      </c>
      <c r="G152" s="17" t="str">
        <f>_xlfn.XLOOKUP(F152, 'Control Panel'!$B$20:$B$26,'Control Panel'!$C$20:$C$26,"0")</f>
        <v>0</v>
      </c>
      <c r="H152" s="18">
        <v>0</v>
      </c>
      <c r="I152" s="18">
        <f t="shared" si="2"/>
        <v>0.85499999999999998</v>
      </c>
      <c r="J152" s="18">
        <f>MAX(300,SUM('Control Panel'!$B$1*I152))</f>
        <v>300</v>
      </c>
    </row>
    <row r="153" spans="1:10" s="18" customFormat="1" x14ac:dyDescent="0.25">
      <c r="A153" s="15">
        <v>46169</v>
      </c>
      <c r="B153" s="16" t="s">
        <v>13</v>
      </c>
      <c r="C153" s="17" t="s">
        <v>15</v>
      </c>
      <c r="D153">
        <f>_xlfn.XLOOKUP(C153, 'Control Panel'!$B$4:$B$8,'Control Panel'!$C$4:$C$8,"0")</f>
        <v>0.9</v>
      </c>
      <c r="E153">
        <f>_xlfn.XLOOKUP(B153, 'Control Panel'!$B$11:$B$17,'Control Panel'!$C$11:$C$17,"0")</f>
        <v>0.95</v>
      </c>
      <c r="G153" s="17" t="str">
        <f>_xlfn.XLOOKUP(F153, 'Control Panel'!$B$20:$B$26,'Control Panel'!$C$20:$C$26,"0")</f>
        <v>0</v>
      </c>
      <c r="H153" s="18">
        <v>0</v>
      </c>
      <c r="I153" s="18">
        <f t="shared" si="2"/>
        <v>0.85499999999999998</v>
      </c>
      <c r="J153" s="18">
        <f>MAX(300,SUM('Control Panel'!$B$1*I153))</f>
        <v>300</v>
      </c>
    </row>
    <row r="154" spans="1:10" s="18" customFormat="1" x14ac:dyDescent="0.25">
      <c r="A154" s="15">
        <v>46170</v>
      </c>
      <c r="B154" s="16" t="s">
        <v>5</v>
      </c>
      <c r="C154" s="17" t="s">
        <v>15</v>
      </c>
      <c r="D154">
        <f>_xlfn.XLOOKUP(C154, 'Control Panel'!$B$4:$B$8,'Control Panel'!$C$4:$C$8,"0")</f>
        <v>0.9</v>
      </c>
      <c r="E154">
        <f>_xlfn.XLOOKUP(B154, 'Control Panel'!$B$11:$B$17,'Control Panel'!$C$11:$C$17,"0")</f>
        <v>0.95</v>
      </c>
      <c r="G154" s="17" t="str">
        <f>_xlfn.XLOOKUP(F154, 'Control Panel'!$B$20:$B$26,'Control Panel'!$C$20:$C$26,"0")</f>
        <v>0</v>
      </c>
      <c r="H154" s="18">
        <v>0</v>
      </c>
      <c r="I154" s="18">
        <f t="shared" si="2"/>
        <v>0.85499999999999998</v>
      </c>
      <c r="J154" s="18">
        <f>MAX(300,SUM('Control Panel'!$B$1*I154))</f>
        <v>300</v>
      </c>
    </row>
    <row r="155" spans="1:10" s="18" customFormat="1" x14ac:dyDescent="0.25">
      <c r="A155" s="15">
        <v>46171</v>
      </c>
      <c r="B155" s="16" t="s">
        <v>8</v>
      </c>
      <c r="C155" s="17" t="s">
        <v>15</v>
      </c>
      <c r="D155">
        <f>_xlfn.XLOOKUP(C155, 'Control Panel'!$B$4:$B$8,'Control Panel'!$C$4:$C$8,"0")</f>
        <v>0.9</v>
      </c>
      <c r="E155">
        <f>_xlfn.XLOOKUP(B155, 'Control Panel'!$B$11:$B$17,'Control Panel'!$C$11:$C$17,"0")</f>
        <v>1.1000000000000001</v>
      </c>
      <c r="G155" s="17" t="str">
        <f>_xlfn.XLOOKUP(F155, 'Control Panel'!$B$20:$B$26,'Control Panel'!$C$20:$C$26,"0")</f>
        <v>0</v>
      </c>
      <c r="H155" s="18">
        <v>0</v>
      </c>
      <c r="I155" s="18">
        <f t="shared" si="2"/>
        <v>0.9900000000000001</v>
      </c>
      <c r="J155" s="18">
        <f>MAX(300,SUM('Control Panel'!$B$1*I155))</f>
        <v>300</v>
      </c>
    </row>
    <row r="156" spans="1:10" s="18" customFormat="1" x14ac:dyDescent="0.25">
      <c r="A156" s="15">
        <v>46172</v>
      </c>
      <c r="B156" s="16" t="s">
        <v>9</v>
      </c>
      <c r="C156" s="17" t="s">
        <v>15</v>
      </c>
      <c r="D156">
        <f>_xlfn.XLOOKUP(C156, 'Control Panel'!$B$4:$B$8,'Control Panel'!$C$4:$C$8,"0")</f>
        <v>0.9</v>
      </c>
      <c r="E156">
        <f>_xlfn.XLOOKUP(B156, 'Control Panel'!$B$11:$B$17,'Control Panel'!$C$11:$C$17,"0")</f>
        <v>1.25</v>
      </c>
      <c r="G156" s="17" t="str">
        <f>_xlfn.XLOOKUP(F156, 'Control Panel'!$B$20:$B$26,'Control Panel'!$C$20:$C$26,"0")</f>
        <v>0</v>
      </c>
      <c r="H156" s="18">
        <v>0</v>
      </c>
      <c r="I156" s="18">
        <f t="shared" si="2"/>
        <v>1.125</v>
      </c>
      <c r="J156" s="18">
        <f>MAX(300,SUM('Control Panel'!$B$1*I156))</f>
        <v>337.5</v>
      </c>
    </row>
    <row r="157" spans="1:10" s="18" customFormat="1" x14ac:dyDescent="0.25">
      <c r="A157" s="15">
        <v>46173</v>
      </c>
      <c r="B157" s="16" t="s">
        <v>10</v>
      </c>
      <c r="C157" s="17" t="s">
        <v>15</v>
      </c>
      <c r="D157">
        <f>_xlfn.XLOOKUP(C157, 'Control Panel'!$B$4:$B$8,'Control Panel'!$C$4:$C$8,"0")</f>
        <v>0.9</v>
      </c>
      <c r="E157">
        <f>_xlfn.XLOOKUP(B157, 'Control Panel'!$B$11:$B$17,'Control Panel'!$C$11:$C$17,"0")</f>
        <v>1.05</v>
      </c>
      <c r="G157" s="17" t="str">
        <f>_xlfn.XLOOKUP(F157, 'Control Panel'!$B$20:$B$26,'Control Panel'!$C$20:$C$26,"0")</f>
        <v>0</v>
      </c>
      <c r="H157" s="18">
        <v>0</v>
      </c>
      <c r="I157" s="18">
        <f t="shared" si="2"/>
        <v>0.94500000000000006</v>
      </c>
      <c r="J157" s="18">
        <f>MAX(300,SUM('Control Panel'!$B$1*I157))</f>
        <v>300</v>
      </c>
    </row>
    <row r="158" spans="1:10" x14ac:dyDescent="0.25">
      <c r="A158" s="10" t="s">
        <v>37</v>
      </c>
      <c r="B158" s="13"/>
      <c r="C158" s="14"/>
      <c r="G158" s="9" t="str">
        <f>_xlfn.XLOOKUP(F158, 'Control Panel'!$B$20:$B$26,'Control Panel'!$C$20:$C$26,"0")</f>
        <v>0</v>
      </c>
    </row>
    <row r="159" spans="1:10" x14ac:dyDescent="0.25">
      <c r="A159" s="5">
        <v>46174</v>
      </c>
      <c r="B159" s="7" t="s">
        <v>11</v>
      </c>
      <c r="C159" s="9" t="s">
        <v>16</v>
      </c>
      <c r="D159">
        <f>_xlfn.XLOOKUP(C159, 'Control Panel'!$B$4:$B$8,'Control Panel'!$C$4:$C$8,"0")</f>
        <v>1.3</v>
      </c>
      <c r="E159">
        <f>_xlfn.XLOOKUP(B159, 'Control Panel'!$B$11:$B$17,'Control Panel'!$C$11:$C$17,"0")</f>
        <v>0.95</v>
      </c>
      <c r="G159" s="9" t="str">
        <f>_xlfn.XLOOKUP(F159, 'Control Panel'!$B$20:$B$26,'Control Panel'!$C$20:$C$26,"0")</f>
        <v>0</v>
      </c>
      <c r="H159">
        <v>0</v>
      </c>
      <c r="I159">
        <f t="shared" si="2"/>
        <v>1.2349999999999999</v>
      </c>
      <c r="J159">
        <f>MAX(300,SUM('Control Panel'!$B$1*I159))</f>
        <v>370.49999999999994</v>
      </c>
    </row>
    <row r="160" spans="1:10" x14ac:dyDescent="0.25">
      <c r="A160" s="5">
        <v>46175</v>
      </c>
      <c r="B160" s="7" t="s">
        <v>12</v>
      </c>
      <c r="C160" s="9" t="s">
        <v>16</v>
      </c>
      <c r="D160">
        <f>_xlfn.XLOOKUP(C160, 'Control Panel'!$B$4:$B$8,'Control Panel'!$C$4:$C$8,"0")</f>
        <v>1.3</v>
      </c>
      <c r="E160">
        <f>_xlfn.XLOOKUP(B160, 'Control Panel'!$B$11:$B$17,'Control Panel'!$C$11:$C$17,"0")</f>
        <v>0.95</v>
      </c>
      <c r="G160" s="9" t="str">
        <f>_xlfn.XLOOKUP(F160, 'Control Panel'!$B$20:$B$26,'Control Panel'!$C$20:$C$26,"0")</f>
        <v>0</v>
      </c>
      <c r="H160">
        <v>0</v>
      </c>
      <c r="I160">
        <f t="shared" si="2"/>
        <v>1.2349999999999999</v>
      </c>
      <c r="J160">
        <f>MAX(300,SUM('Control Panel'!$B$1*I160))</f>
        <v>370.49999999999994</v>
      </c>
    </row>
    <row r="161" spans="1:10" x14ac:dyDescent="0.25">
      <c r="A161" s="5">
        <v>46176</v>
      </c>
      <c r="B161" s="7" t="s">
        <v>13</v>
      </c>
      <c r="C161" s="9" t="s">
        <v>16</v>
      </c>
      <c r="D161">
        <f>_xlfn.XLOOKUP(C161, 'Control Panel'!$B$4:$B$8,'Control Panel'!$C$4:$C$8,"0")</f>
        <v>1.3</v>
      </c>
      <c r="E161">
        <f>_xlfn.XLOOKUP(B161, 'Control Panel'!$B$11:$B$17,'Control Panel'!$C$11:$C$17,"0")</f>
        <v>0.95</v>
      </c>
      <c r="G161" s="9" t="str">
        <f>_xlfn.XLOOKUP(F161, 'Control Panel'!$B$20:$B$26,'Control Panel'!$C$20:$C$26,"0")</f>
        <v>0</v>
      </c>
      <c r="H161">
        <v>0</v>
      </c>
      <c r="I161">
        <f t="shared" si="2"/>
        <v>1.2349999999999999</v>
      </c>
      <c r="J161">
        <f>MAX(300,SUM('Control Panel'!$B$1*I161))</f>
        <v>370.49999999999994</v>
      </c>
    </row>
    <row r="162" spans="1:10" x14ac:dyDescent="0.25">
      <c r="A162" s="5">
        <v>46177</v>
      </c>
      <c r="B162" s="7" t="s">
        <v>5</v>
      </c>
      <c r="C162" s="9" t="s">
        <v>16</v>
      </c>
      <c r="D162">
        <f>_xlfn.XLOOKUP(C162, 'Control Panel'!$B$4:$B$8,'Control Panel'!$C$4:$C$8,"0")</f>
        <v>1.3</v>
      </c>
      <c r="E162">
        <f>_xlfn.XLOOKUP(B162, 'Control Panel'!$B$11:$B$17,'Control Panel'!$C$11:$C$17,"0")</f>
        <v>0.95</v>
      </c>
      <c r="G162" s="9" t="str">
        <f>_xlfn.XLOOKUP(F162, 'Control Panel'!$B$20:$B$26,'Control Panel'!$C$20:$C$26,"0")</f>
        <v>0</v>
      </c>
      <c r="H162">
        <v>0</v>
      </c>
      <c r="I162">
        <f t="shared" si="2"/>
        <v>1.2349999999999999</v>
      </c>
      <c r="J162">
        <f>MAX(300,SUM('Control Panel'!$B$1*I162))</f>
        <v>370.49999999999994</v>
      </c>
    </row>
    <row r="163" spans="1:10" x14ac:dyDescent="0.25">
      <c r="A163" s="5">
        <v>46178</v>
      </c>
      <c r="B163" s="7" t="s">
        <v>8</v>
      </c>
      <c r="C163" s="9" t="s">
        <v>16</v>
      </c>
      <c r="D163">
        <f>_xlfn.XLOOKUP(C163, 'Control Panel'!$B$4:$B$8,'Control Panel'!$C$4:$C$8,"0")</f>
        <v>1.3</v>
      </c>
      <c r="E163">
        <f>_xlfn.XLOOKUP(B163, 'Control Panel'!$B$11:$B$17,'Control Panel'!$C$11:$C$17,"0")</f>
        <v>1.1000000000000001</v>
      </c>
      <c r="G163" s="9" t="str">
        <f>_xlfn.XLOOKUP(F163, 'Control Panel'!$B$20:$B$26,'Control Panel'!$C$20:$C$26,"0")</f>
        <v>0</v>
      </c>
      <c r="H163">
        <v>0</v>
      </c>
      <c r="I163">
        <f t="shared" si="2"/>
        <v>1.4300000000000002</v>
      </c>
      <c r="J163">
        <f>MAX(300,SUM('Control Panel'!$B$1*I163))</f>
        <v>429.00000000000006</v>
      </c>
    </row>
    <row r="164" spans="1:10" x14ac:dyDescent="0.25">
      <c r="A164" s="5">
        <v>46179</v>
      </c>
      <c r="B164" s="7" t="s">
        <v>9</v>
      </c>
      <c r="C164" s="9" t="s">
        <v>16</v>
      </c>
      <c r="D164">
        <f>_xlfn.XLOOKUP(C164, 'Control Panel'!$B$4:$B$8,'Control Panel'!$C$4:$C$8,"0")</f>
        <v>1.3</v>
      </c>
      <c r="E164">
        <f>_xlfn.XLOOKUP(B164, 'Control Panel'!$B$11:$B$17,'Control Panel'!$C$11:$C$17,"0")</f>
        <v>1.25</v>
      </c>
      <c r="G164" s="9" t="str">
        <f>_xlfn.XLOOKUP(F164, 'Control Panel'!$B$20:$B$26,'Control Panel'!$C$20:$C$26,"0")</f>
        <v>0</v>
      </c>
      <c r="H164">
        <v>0</v>
      </c>
      <c r="I164">
        <f t="shared" si="2"/>
        <v>1.625</v>
      </c>
      <c r="J164">
        <f>MAX(300,SUM('Control Panel'!$B$1*I164))</f>
        <v>487.5</v>
      </c>
    </row>
    <row r="165" spans="1:10" x14ac:dyDescent="0.25">
      <c r="A165" s="5">
        <v>46180</v>
      </c>
      <c r="B165" s="7" t="s">
        <v>10</v>
      </c>
      <c r="C165" s="9" t="s">
        <v>16</v>
      </c>
      <c r="D165">
        <f>_xlfn.XLOOKUP(C165, 'Control Panel'!$B$4:$B$8,'Control Panel'!$C$4:$C$8,"0")</f>
        <v>1.3</v>
      </c>
      <c r="E165">
        <f>_xlfn.XLOOKUP(B165, 'Control Panel'!$B$11:$B$17,'Control Panel'!$C$11:$C$17,"0")</f>
        <v>1.05</v>
      </c>
      <c r="G165" s="9" t="str">
        <f>_xlfn.XLOOKUP(F165, 'Control Panel'!$B$20:$B$26,'Control Panel'!$C$20:$C$26,"0")</f>
        <v>0</v>
      </c>
      <c r="H165">
        <v>0</v>
      </c>
      <c r="I165">
        <f t="shared" si="2"/>
        <v>1.3650000000000002</v>
      </c>
      <c r="J165">
        <f>MAX(300,SUM('Control Panel'!$B$1*I165))</f>
        <v>409.50000000000006</v>
      </c>
    </row>
    <row r="166" spans="1:10" s="18" customFormat="1" x14ac:dyDescent="0.25">
      <c r="A166" s="15">
        <v>46181</v>
      </c>
      <c r="B166" s="16" t="s">
        <v>11</v>
      </c>
      <c r="C166" s="17" t="s">
        <v>16</v>
      </c>
      <c r="D166">
        <f>_xlfn.XLOOKUP(C166, 'Control Panel'!$B$4:$B$8,'Control Panel'!$C$4:$C$8,"0")</f>
        <v>1.3</v>
      </c>
      <c r="E166">
        <f>_xlfn.XLOOKUP(B166, 'Control Panel'!$B$11:$B$17,'Control Panel'!$C$11:$C$17,"0")</f>
        <v>0.95</v>
      </c>
      <c r="G166" s="17" t="str">
        <f>_xlfn.XLOOKUP(F166, 'Control Panel'!$B$20:$B$26,'Control Panel'!$C$20:$C$26,"0")</f>
        <v>0</v>
      </c>
      <c r="H166" s="18">
        <v>0</v>
      </c>
      <c r="I166" s="18">
        <f t="shared" si="2"/>
        <v>1.2349999999999999</v>
      </c>
      <c r="J166" s="18">
        <f>MAX(300,SUM('Control Panel'!$B$1*I166))</f>
        <v>370.49999999999994</v>
      </c>
    </row>
    <row r="167" spans="1:10" s="18" customFormat="1" x14ac:dyDescent="0.25">
      <c r="A167" s="15">
        <v>46182</v>
      </c>
      <c r="B167" s="16" t="s">
        <v>12</v>
      </c>
      <c r="C167" s="17" t="s">
        <v>16</v>
      </c>
      <c r="D167">
        <f>_xlfn.XLOOKUP(C167, 'Control Panel'!$B$4:$B$8,'Control Panel'!$C$4:$C$8,"0")</f>
        <v>1.3</v>
      </c>
      <c r="E167">
        <f>_xlfn.XLOOKUP(B167, 'Control Panel'!$B$11:$B$17,'Control Panel'!$C$11:$C$17,"0")</f>
        <v>0.95</v>
      </c>
      <c r="G167" s="17" t="str">
        <f>_xlfn.XLOOKUP(F167, 'Control Panel'!$B$20:$B$26,'Control Panel'!$C$20:$C$26,"0")</f>
        <v>0</v>
      </c>
      <c r="H167" s="18">
        <v>0</v>
      </c>
      <c r="I167" s="18">
        <f t="shared" si="2"/>
        <v>1.2349999999999999</v>
      </c>
      <c r="J167" s="18">
        <f>MAX(300,SUM('Control Panel'!$B$1*I167))</f>
        <v>370.49999999999994</v>
      </c>
    </row>
    <row r="168" spans="1:10" s="18" customFormat="1" x14ac:dyDescent="0.25">
      <c r="A168" s="15">
        <v>46183</v>
      </c>
      <c r="B168" s="16" t="s">
        <v>13</v>
      </c>
      <c r="C168" s="17" t="s">
        <v>16</v>
      </c>
      <c r="D168">
        <f>_xlfn.XLOOKUP(C168, 'Control Panel'!$B$4:$B$8,'Control Panel'!$C$4:$C$8,"0")</f>
        <v>1.3</v>
      </c>
      <c r="E168">
        <f>_xlfn.XLOOKUP(B168, 'Control Panel'!$B$11:$B$17,'Control Panel'!$C$11:$C$17,"0")</f>
        <v>0.95</v>
      </c>
      <c r="G168" s="17" t="str">
        <f>_xlfn.XLOOKUP(F168, 'Control Panel'!$B$20:$B$26,'Control Panel'!$C$20:$C$26,"0")</f>
        <v>0</v>
      </c>
      <c r="H168" s="18">
        <v>0</v>
      </c>
      <c r="I168" s="18">
        <f t="shared" si="2"/>
        <v>1.2349999999999999</v>
      </c>
      <c r="J168" s="18">
        <f>MAX(300,SUM('Control Panel'!$B$1*I168))</f>
        <v>370.49999999999994</v>
      </c>
    </row>
    <row r="169" spans="1:10" s="18" customFormat="1" x14ac:dyDescent="0.25">
      <c r="A169" s="15">
        <v>46184</v>
      </c>
      <c r="B169" s="16" t="s">
        <v>5</v>
      </c>
      <c r="C169" s="17" t="s">
        <v>16</v>
      </c>
      <c r="D169">
        <f>_xlfn.XLOOKUP(C169, 'Control Panel'!$B$4:$B$8,'Control Panel'!$C$4:$C$8,"0")</f>
        <v>1.3</v>
      </c>
      <c r="E169">
        <f>_xlfn.XLOOKUP(B169, 'Control Panel'!$B$11:$B$17,'Control Panel'!$C$11:$C$17,"0")</f>
        <v>0.95</v>
      </c>
      <c r="G169" s="17" t="str">
        <f>_xlfn.XLOOKUP(F169, 'Control Panel'!$B$20:$B$26,'Control Panel'!$C$20:$C$26,"0")</f>
        <v>0</v>
      </c>
      <c r="H169" s="18">
        <v>0</v>
      </c>
      <c r="I169" s="18">
        <f t="shared" si="2"/>
        <v>1.2349999999999999</v>
      </c>
      <c r="J169" s="18">
        <f>MAX(300,SUM('Control Panel'!$B$1*I169))</f>
        <v>370.49999999999994</v>
      </c>
    </row>
    <row r="170" spans="1:10" s="18" customFormat="1" x14ac:dyDescent="0.25">
      <c r="A170" s="15">
        <v>46185</v>
      </c>
      <c r="B170" s="16" t="s">
        <v>8</v>
      </c>
      <c r="C170" s="17" t="s">
        <v>16</v>
      </c>
      <c r="D170">
        <f>_xlfn.XLOOKUP(C170, 'Control Panel'!$B$4:$B$8,'Control Panel'!$C$4:$C$8,"0")</f>
        <v>1.3</v>
      </c>
      <c r="E170">
        <f>_xlfn.XLOOKUP(B170, 'Control Panel'!$B$11:$B$17,'Control Panel'!$C$11:$C$17,"0")</f>
        <v>1.1000000000000001</v>
      </c>
      <c r="G170" s="17" t="str">
        <f>_xlfn.XLOOKUP(F170, 'Control Panel'!$B$20:$B$26,'Control Panel'!$C$20:$C$26,"0")</f>
        <v>0</v>
      </c>
      <c r="H170" s="18">
        <v>0</v>
      </c>
      <c r="I170" s="18">
        <f t="shared" si="2"/>
        <v>1.4300000000000002</v>
      </c>
      <c r="J170" s="18">
        <f>MAX(300,SUM('Control Panel'!$B$1*I170))</f>
        <v>429.00000000000006</v>
      </c>
    </row>
    <row r="171" spans="1:10" s="18" customFormat="1" x14ac:dyDescent="0.25">
      <c r="A171" s="15">
        <v>46186</v>
      </c>
      <c r="B171" s="16" t="s">
        <v>9</v>
      </c>
      <c r="C171" s="17" t="s">
        <v>16</v>
      </c>
      <c r="D171">
        <f>_xlfn.XLOOKUP(C171, 'Control Panel'!$B$4:$B$8,'Control Panel'!$C$4:$C$8,"0")</f>
        <v>1.3</v>
      </c>
      <c r="E171">
        <f>_xlfn.XLOOKUP(B171, 'Control Panel'!$B$11:$B$17,'Control Panel'!$C$11:$C$17,"0")</f>
        <v>1.25</v>
      </c>
      <c r="G171" s="17" t="str">
        <f>_xlfn.XLOOKUP(F171, 'Control Panel'!$B$20:$B$26,'Control Panel'!$C$20:$C$26,"0")</f>
        <v>0</v>
      </c>
      <c r="H171" s="18">
        <v>0</v>
      </c>
      <c r="I171" s="18">
        <f t="shared" si="2"/>
        <v>1.625</v>
      </c>
      <c r="J171" s="18">
        <f>MAX(300,SUM('Control Panel'!$B$1*I171))</f>
        <v>487.5</v>
      </c>
    </row>
    <row r="172" spans="1:10" s="18" customFormat="1" x14ac:dyDescent="0.25">
      <c r="A172" s="15">
        <v>46187</v>
      </c>
      <c r="B172" s="16" t="s">
        <v>10</v>
      </c>
      <c r="C172" s="17" t="s">
        <v>16</v>
      </c>
      <c r="D172">
        <f>_xlfn.XLOOKUP(C172, 'Control Panel'!$B$4:$B$8,'Control Panel'!$C$4:$C$8,"0")</f>
        <v>1.3</v>
      </c>
      <c r="E172">
        <f>_xlfn.XLOOKUP(B172, 'Control Panel'!$B$11:$B$17,'Control Panel'!$C$11:$C$17,"0")</f>
        <v>1.05</v>
      </c>
      <c r="G172" s="17" t="str">
        <f>_xlfn.XLOOKUP(F172, 'Control Panel'!$B$20:$B$26,'Control Panel'!$C$20:$C$26,"0")</f>
        <v>0</v>
      </c>
      <c r="H172" s="18">
        <v>0</v>
      </c>
      <c r="I172" s="18">
        <f t="shared" si="2"/>
        <v>1.3650000000000002</v>
      </c>
      <c r="J172" s="18">
        <f>MAX(300,SUM('Control Panel'!$B$1*I172))</f>
        <v>409.50000000000006</v>
      </c>
    </row>
    <row r="173" spans="1:10" x14ac:dyDescent="0.25">
      <c r="A173" s="5">
        <v>46188</v>
      </c>
      <c r="B173" s="7" t="s">
        <v>11</v>
      </c>
      <c r="C173" s="9" t="s">
        <v>16</v>
      </c>
      <c r="D173">
        <f>_xlfn.XLOOKUP(C173, 'Control Panel'!$B$4:$B$8,'Control Panel'!$C$4:$C$8,"0")</f>
        <v>1.3</v>
      </c>
      <c r="E173">
        <f>_xlfn.XLOOKUP(B173, 'Control Panel'!$B$11:$B$17,'Control Panel'!$C$11:$C$17,"0")</f>
        <v>0.95</v>
      </c>
      <c r="G173" s="9" t="str">
        <f>_xlfn.XLOOKUP(F173, 'Control Panel'!$B$20:$B$26,'Control Panel'!$C$20:$C$26,"0")</f>
        <v>0</v>
      </c>
      <c r="H173">
        <v>0</v>
      </c>
      <c r="I173">
        <f t="shared" si="2"/>
        <v>1.2349999999999999</v>
      </c>
      <c r="J173">
        <f>MAX(300,SUM('Control Panel'!$B$1*I173))</f>
        <v>370.49999999999994</v>
      </c>
    </row>
    <row r="174" spans="1:10" x14ac:dyDescent="0.25">
      <c r="A174" s="5">
        <v>46189</v>
      </c>
      <c r="B174" s="7" t="s">
        <v>12</v>
      </c>
      <c r="C174" s="9" t="s">
        <v>16</v>
      </c>
      <c r="D174">
        <f>_xlfn.XLOOKUP(C174, 'Control Panel'!$B$4:$B$8,'Control Panel'!$C$4:$C$8,"0")</f>
        <v>1.3</v>
      </c>
      <c r="E174">
        <f>_xlfn.XLOOKUP(B174, 'Control Panel'!$B$11:$B$17,'Control Panel'!$C$11:$C$17,"0")</f>
        <v>0.95</v>
      </c>
      <c r="G174" s="9" t="str">
        <f>_xlfn.XLOOKUP(F174, 'Control Panel'!$B$20:$B$26,'Control Panel'!$C$20:$C$26,"0")</f>
        <v>0</v>
      </c>
      <c r="H174">
        <v>0</v>
      </c>
      <c r="I174">
        <f t="shared" si="2"/>
        <v>1.2349999999999999</v>
      </c>
      <c r="J174">
        <f>MAX(300,SUM('Control Panel'!$B$1*I174))</f>
        <v>370.49999999999994</v>
      </c>
    </row>
    <row r="175" spans="1:10" x14ac:dyDescent="0.25">
      <c r="A175" s="5">
        <v>46190</v>
      </c>
      <c r="B175" s="7" t="s">
        <v>13</v>
      </c>
      <c r="C175" s="9" t="s">
        <v>16</v>
      </c>
      <c r="D175">
        <f>_xlfn.XLOOKUP(C175, 'Control Panel'!$B$4:$B$8,'Control Panel'!$C$4:$C$8,"0")</f>
        <v>1.3</v>
      </c>
      <c r="E175">
        <f>_xlfn.XLOOKUP(B175, 'Control Panel'!$B$11:$B$17,'Control Panel'!$C$11:$C$17,"0")</f>
        <v>0.95</v>
      </c>
      <c r="G175" s="9" t="str">
        <f>_xlfn.XLOOKUP(F175, 'Control Panel'!$B$20:$B$26,'Control Panel'!$C$20:$C$26,"0")</f>
        <v>0</v>
      </c>
      <c r="H175">
        <v>0</v>
      </c>
      <c r="I175">
        <f t="shared" si="2"/>
        <v>1.2349999999999999</v>
      </c>
      <c r="J175">
        <f>MAX(300,SUM('Control Panel'!$B$1*I175))</f>
        <v>370.49999999999994</v>
      </c>
    </row>
    <row r="176" spans="1:10" x14ac:dyDescent="0.25">
      <c r="A176" s="5">
        <v>46191</v>
      </c>
      <c r="B176" s="7" t="s">
        <v>5</v>
      </c>
      <c r="C176" s="9" t="s">
        <v>16</v>
      </c>
      <c r="D176">
        <f>_xlfn.XLOOKUP(C176, 'Control Panel'!$B$4:$B$8,'Control Panel'!$C$4:$C$8,"0")</f>
        <v>1.3</v>
      </c>
      <c r="E176">
        <f>_xlfn.XLOOKUP(B176, 'Control Panel'!$B$11:$B$17,'Control Panel'!$C$11:$C$17,"0")</f>
        <v>0.95</v>
      </c>
      <c r="G176" s="9" t="str">
        <f>_xlfn.XLOOKUP(F176, 'Control Panel'!$B$20:$B$26,'Control Panel'!$C$20:$C$26,"0")</f>
        <v>0</v>
      </c>
      <c r="H176">
        <v>0</v>
      </c>
      <c r="I176">
        <f t="shared" si="2"/>
        <v>1.2349999999999999</v>
      </c>
      <c r="J176">
        <f>MAX(300,SUM('Control Panel'!$B$1*I176))</f>
        <v>370.49999999999994</v>
      </c>
    </row>
    <row r="177" spans="1:10" x14ac:dyDescent="0.25">
      <c r="A177" s="5">
        <v>46192</v>
      </c>
      <c r="B177" s="7" t="s">
        <v>8</v>
      </c>
      <c r="C177" s="9" t="s">
        <v>16</v>
      </c>
      <c r="D177">
        <f>_xlfn.XLOOKUP(C177, 'Control Panel'!$B$4:$B$8,'Control Panel'!$C$4:$C$8,"0")</f>
        <v>1.3</v>
      </c>
      <c r="E177">
        <f>_xlfn.XLOOKUP(B177, 'Control Panel'!$B$11:$B$17,'Control Panel'!$C$11:$C$17,"0")</f>
        <v>1.1000000000000001</v>
      </c>
      <c r="G177" s="9" t="str">
        <f>_xlfn.XLOOKUP(F177, 'Control Panel'!$B$20:$B$26,'Control Panel'!$C$20:$C$26,"0")</f>
        <v>0</v>
      </c>
      <c r="H177">
        <v>0</v>
      </c>
      <c r="I177">
        <f t="shared" si="2"/>
        <v>1.4300000000000002</v>
      </c>
      <c r="J177">
        <f>MAX(300,SUM('Control Panel'!$B$1*I177))</f>
        <v>429.00000000000006</v>
      </c>
    </row>
    <row r="178" spans="1:10" x14ac:dyDescent="0.25">
      <c r="A178" s="5">
        <v>46193</v>
      </c>
      <c r="B178" s="7" t="s">
        <v>9</v>
      </c>
      <c r="C178" s="9" t="s">
        <v>16</v>
      </c>
      <c r="D178">
        <f>_xlfn.XLOOKUP(C178, 'Control Panel'!$B$4:$B$8,'Control Panel'!$C$4:$C$8,"0")</f>
        <v>1.3</v>
      </c>
      <c r="E178">
        <f>_xlfn.XLOOKUP(B178, 'Control Panel'!$B$11:$B$17,'Control Panel'!$C$11:$C$17,"0")</f>
        <v>1.25</v>
      </c>
      <c r="G178" s="9" t="str">
        <f>_xlfn.XLOOKUP(F178, 'Control Panel'!$B$20:$B$26,'Control Panel'!$C$20:$C$26,"0")</f>
        <v>0</v>
      </c>
      <c r="H178">
        <v>0</v>
      </c>
      <c r="I178">
        <f t="shared" si="2"/>
        <v>1.625</v>
      </c>
      <c r="J178">
        <f>MAX(300,SUM('Control Panel'!$B$1*I178))</f>
        <v>487.5</v>
      </c>
    </row>
    <row r="179" spans="1:10" x14ac:dyDescent="0.25">
      <c r="A179" s="5">
        <v>46194</v>
      </c>
      <c r="B179" s="7" t="s">
        <v>10</v>
      </c>
      <c r="C179" s="9" t="s">
        <v>16</v>
      </c>
      <c r="D179">
        <f>_xlfn.XLOOKUP(C179, 'Control Panel'!$B$4:$B$8,'Control Panel'!$C$4:$C$8,"0")</f>
        <v>1.3</v>
      </c>
      <c r="E179">
        <f>_xlfn.XLOOKUP(B179, 'Control Panel'!$B$11:$B$17,'Control Panel'!$C$11:$C$17,"0")</f>
        <v>1.05</v>
      </c>
      <c r="G179" s="9" t="str">
        <f>_xlfn.XLOOKUP(F179, 'Control Panel'!$B$20:$B$26,'Control Panel'!$C$20:$C$26,"0")</f>
        <v>0</v>
      </c>
      <c r="H179">
        <v>0</v>
      </c>
      <c r="I179">
        <f t="shared" si="2"/>
        <v>1.3650000000000002</v>
      </c>
      <c r="J179">
        <f>MAX(300,SUM('Control Panel'!$B$1*I179))</f>
        <v>409.50000000000006</v>
      </c>
    </row>
    <row r="180" spans="1:10" s="18" customFormat="1" x14ac:dyDescent="0.25">
      <c r="A180" s="15">
        <v>46195</v>
      </c>
      <c r="B180" s="16" t="s">
        <v>11</v>
      </c>
      <c r="C180" s="17" t="s">
        <v>16</v>
      </c>
      <c r="D180">
        <f>_xlfn.XLOOKUP(C180, 'Control Panel'!$B$4:$B$8,'Control Panel'!$C$4:$C$8,"0")</f>
        <v>1.3</v>
      </c>
      <c r="E180">
        <f>_xlfn.XLOOKUP(B180, 'Control Panel'!$B$11:$B$17,'Control Panel'!$C$11:$C$17,"0")</f>
        <v>0.95</v>
      </c>
      <c r="G180" s="17" t="str">
        <f>_xlfn.XLOOKUP(F180, 'Control Panel'!$B$20:$B$26,'Control Panel'!$C$20:$C$26,"0")</f>
        <v>0</v>
      </c>
      <c r="H180" s="18">
        <v>0</v>
      </c>
      <c r="I180" s="18">
        <f t="shared" si="2"/>
        <v>1.2349999999999999</v>
      </c>
      <c r="J180" s="18">
        <f>MAX(300,SUM('Control Panel'!$B$1*I180))</f>
        <v>370.49999999999994</v>
      </c>
    </row>
    <row r="181" spans="1:10" s="18" customFormat="1" x14ac:dyDescent="0.25">
      <c r="A181" s="15">
        <v>46196</v>
      </c>
      <c r="B181" s="16" t="s">
        <v>12</v>
      </c>
      <c r="C181" s="17" t="s">
        <v>16</v>
      </c>
      <c r="D181">
        <f>_xlfn.XLOOKUP(C181, 'Control Panel'!$B$4:$B$8,'Control Panel'!$C$4:$C$8,"0")</f>
        <v>1.3</v>
      </c>
      <c r="E181">
        <f>_xlfn.XLOOKUP(B181, 'Control Panel'!$B$11:$B$17,'Control Panel'!$C$11:$C$17,"0")</f>
        <v>0.95</v>
      </c>
      <c r="G181" s="17" t="str">
        <f>_xlfn.XLOOKUP(F181, 'Control Panel'!$B$20:$B$26,'Control Panel'!$C$20:$C$26,"0")</f>
        <v>0</v>
      </c>
      <c r="H181" s="18">
        <v>0</v>
      </c>
      <c r="I181" s="18">
        <f t="shared" si="2"/>
        <v>1.2349999999999999</v>
      </c>
      <c r="J181" s="18">
        <f>MAX(300,SUM('Control Panel'!$B$1*I181))</f>
        <v>370.49999999999994</v>
      </c>
    </row>
    <row r="182" spans="1:10" s="18" customFormat="1" x14ac:dyDescent="0.25">
      <c r="A182" s="15">
        <v>46197</v>
      </c>
      <c r="B182" s="16" t="s">
        <v>13</v>
      </c>
      <c r="C182" s="17" t="s">
        <v>16</v>
      </c>
      <c r="D182">
        <f>_xlfn.XLOOKUP(C182, 'Control Panel'!$B$4:$B$8,'Control Panel'!$C$4:$C$8,"0")</f>
        <v>1.3</v>
      </c>
      <c r="E182">
        <f>_xlfn.XLOOKUP(B182, 'Control Panel'!$B$11:$B$17,'Control Panel'!$C$11:$C$17,"0")</f>
        <v>0.95</v>
      </c>
      <c r="F182" s="18" t="s">
        <v>17</v>
      </c>
      <c r="G182" s="17">
        <f>_xlfn.XLOOKUP(F182, 'Control Panel'!$B$20:$B$26,'Control Panel'!$C$20:$C$26,"0")</f>
        <v>0.35</v>
      </c>
      <c r="H182" s="18">
        <v>0</v>
      </c>
      <c r="I182" s="18">
        <f t="shared" si="2"/>
        <v>1.585</v>
      </c>
      <c r="J182" s="18">
        <f>MAX(300,SUM('Control Panel'!$B$1*I182))</f>
        <v>475.5</v>
      </c>
    </row>
    <row r="183" spans="1:10" s="18" customFormat="1" x14ac:dyDescent="0.25">
      <c r="A183" s="15">
        <v>46198</v>
      </c>
      <c r="B183" s="16" t="s">
        <v>5</v>
      </c>
      <c r="C183" s="17" t="s">
        <v>16</v>
      </c>
      <c r="D183">
        <f>_xlfn.XLOOKUP(C183, 'Control Panel'!$B$4:$B$8,'Control Panel'!$C$4:$C$8,"0")</f>
        <v>1.3</v>
      </c>
      <c r="E183">
        <f>_xlfn.XLOOKUP(B183, 'Control Panel'!$B$11:$B$17,'Control Panel'!$C$11:$C$17,"0")</f>
        <v>0.95</v>
      </c>
      <c r="G183" s="17" t="str">
        <f>_xlfn.XLOOKUP(F183, 'Control Panel'!$B$20:$B$26,'Control Panel'!$C$20:$C$26,"0")</f>
        <v>0</v>
      </c>
      <c r="H183" s="18">
        <v>0</v>
      </c>
      <c r="I183" s="18">
        <f t="shared" si="2"/>
        <v>1.2349999999999999</v>
      </c>
      <c r="J183" s="18">
        <f>MAX(300,SUM('Control Panel'!$B$1*I183))</f>
        <v>370.49999999999994</v>
      </c>
    </row>
    <row r="184" spans="1:10" s="18" customFormat="1" x14ac:dyDescent="0.25">
      <c r="A184" s="15">
        <v>46199</v>
      </c>
      <c r="B184" s="16" t="s">
        <v>8</v>
      </c>
      <c r="C184" s="17" t="s">
        <v>16</v>
      </c>
      <c r="D184">
        <f>_xlfn.XLOOKUP(C184, 'Control Panel'!$B$4:$B$8,'Control Panel'!$C$4:$C$8,"0")</f>
        <v>1.3</v>
      </c>
      <c r="E184">
        <f>_xlfn.XLOOKUP(B184, 'Control Panel'!$B$11:$B$17,'Control Panel'!$C$11:$C$17,"0")</f>
        <v>1.1000000000000001</v>
      </c>
      <c r="G184" s="17" t="str">
        <f>_xlfn.XLOOKUP(F184, 'Control Panel'!$B$20:$B$26,'Control Panel'!$C$20:$C$26,"0")</f>
        <v>0</v>
      </c>
      <c r="H184" s="18">
        <v>0</v>
      </c>
      <c r="I184" s="18">
        <f t="shared" si="2"/>
        <v>1.4300000000000002</v>
      </c>
      <c r="J184" s="18">
        <f>MAX(300,SUM('Control Panel'!$B$1*I184))</f>
        <v>429.00000000000006</v>
      </c>
    </row>
    <row r="185" spans="1:10" s="18" customFormat="1" x14ac:dyDescent="0.25">
      <c r="A185" s="15">
        <v>46200</v>
      </c>
      <c r="B185" s="16" t="s">
        <v>9</v>
      </c>
      <c r="C185" s="17" t="s">
        <v>16</v>
      </c>
      <c r="D185">
        <f>_xlfn.XLOOKUP(C185, 'Control Panel'!$B$4:$B$8,'Control Panel'!$C$4:$C$8,"0")</f>
        <v>1.3</v>
      </c>
      <c r="E185">
        <f>_xlfn.XLOOKUP(B185, 'Control Panel'!$B$11:$B$17,'Control Panel'!$C$11:$C$17,"0")</f>
        <v>1.25</v>
      </c>
      <c r="G185" s="17" t="str">
        <f>_xlfn.XLOOKUP(F185, 'Control Panel'!$B$20:$B$26,'Control Panel'!$C$20:$C$26,"0")</f>
        <v>0</v>
      </c>
      <c r="H185" s="18">
        <v>0</v>
      </c>
      <c r="I185" s="18">
        <f t="shared" si="2"/>
        <v>1.625</v>
      </c>
      <c r="J185" s="18">
        <f>MAX(300,SUM('Control Panel'!$B$1*I185))</f>
        <v>487.5</v>
      </c>
    </row>
    <row r="186" spans="1:10" s="18" customFormat="1" x14ac:dyDescent="0.25">
      <c r="A186" s="15">
        <v>46201</v>
      </c>
      <c r="B186" s="16" t="s">
        <v>10</v>
      </c>
      <c r="C186" s="17" t="s">
        <v>16</v>
      </c>
      <c r="D186">
        <f>_xlfn.XLOOKUP(C186, 'Control Panel'!$B$4:$B$8,'Control Panel'!$C$4:$C$8,"0")</f>
        <v>1.3</v>
      </c>
      <c r="E186">
        <f>_xlfn.XLOOKUP(B186, 'Control Panel'!$B$11:$B$17,'Control Panel'!$C$11:$C$17,"0")</f>
        <v>1.05</v>
      </c>
      <c r="G186" s="17" t="str">
        <f>_xlfn.XLOOKUP(F186, 'Control Panel'!$B$20:$B$26,'Control Panel'!$C$20:$C$26,"0")</f>
        <v>0</v>
      </c>
      <c r="H186" s="18">
        <v>0</v>
      </c>
      <c r="I186" s="18">
        <f t="shared" si="2"/>
        <v>1.3650000000000002</v>
      </c>
      <c r="J186" s="18">
        <f>MAX(300,SUM('Control Panel'!$B$1*I186))</f>
        <v>409.50000000000006</v>
      </c>
    </row>
    <row r="187" spans="1:10" x14ac:dyDescent="0.25">
      <c r="A187" s="5">
        <v>46202</v>
      </c>
      <c r="B187" s="7" t="s">
        <v>11</v>
      </c>
      <c r="C187" s="9" t="s">
        <v>16</v>
      </c>
      <c r="D187">
        <f>_xlfn.XLOOKUP(C187, 'Control Panel'!$B$4:$B$8,'Control Panel'!$C$4:$C$8,"0")</f>
        <v>1.3</v>
      </c>
      <c r="E187">
        <f>_xlfn.XLOOKUP(B187, 'Control Panel'!$B$11:$B$17,'Control Panel'!$C$11:$C$17,"0")</f>
        <v>0.95</v>
      </c>
      <c r="G187" s="9" t="str">
        <f>_xlfn.XLOOKUP(F187, 'Control Panel'!$B$20:$B$26,'Control Panel'!$C$20:$C$26,"0")</f>
        <v>0</v>
      </c>
      <c r="H187">
        <v>0</v>
      </c>
      <c r="I187">
        <f t="shared" si="2"/>
        <v>1.2349999999999999</v>
      </c>
      <c r="J187">
        <f>MAX(300,SUM('Control Panel'!$B$1*I187))</f>
        <v>370.49999999999994</v>
      </c>
    </row>
    <row r="188" spans="1:10" x14ac:dyDescent="0.25">
      <c r="A188" s="5">
        <v>46203</v>
      </c>
      <c r="B188" s="7" t="s">
        <v>12</v>
      </c>
      <c r="C188" s="9" t="s">
        <v>16</v>
      </c>
      <c r="D188">
        <f>_xlfn.XLOOKUP(C188, 'Control Panel'!$B$4:$B$8,'Control Panel'!$C$4:$C$8,"0")</f>
        <v>1.3</v>
      </c>
      <c r="E188">
        <f>_xlfn.XLOOKUP(B188, 'Control Panel'!$B$11:$B$17,'Control Panel'!$C$11:$C$17,"0")</f>
        <v>0.95</v>
      </c>
      <c r="G188" s="9" t="str">
        <f>_xlfn.XLOOKUP(F188, 'Control Panel'!$B$20:$B$26,'Control Panel'!$C$20:$C$26,"0")</f>
        <v>0</v>
      </c>
      <c r="H188">
        <v>0</v>
      </c>
      <c r="I188">
        <f t="shared" si="2"/>
        <v>1.2349999999999999</v>
      </c>
      <c r="J188">
        <f>MAX(300,SUM('Control Panel'!$B$1*I188))</f>
        <v>370.49999999999994</v>
      </c>
    </row>
    <row r="189" spans="1:10" x14ac:dyDescent="0.25">
      <c r="A189" s="10" t="s">
        <v>38</v>
      </c>
      <c r="B189" s="13"/>
      <c r="C189" s="14"/>
      <c r="G189" s="9" t="str">
        <f>_xlfn.XLOOKUP(F189, 'Control Panel'!$B$20:$B$26,'Control Panel'!$C$20:$C$26,"0")</f>
        <v>0</v>
      </c>
    </row>
    <row r="190" spans="1:10" x14ac:dyDescent="0.25">
      <c r="A190" s="5">
        <v>46204</v>
      </c>
      <c r="B190" s="7" t="s">
        <v>13</v>
      </c>
      <c r="C190" s="9" t="s">
        <v>16</v>
      </c>
      <c r="D190">
        <f>_xlfn.XLOOKUP(C190, 'Control Panel'!$B$4:$B$8,'Control Panel'!$C$4:$C$8,"0")</f>
        <v>1.3</v>
      </c>
      <c r="E190">
        <f>_xlfn.XLOOKUP(B190, 'Control Panel'!$B$11:$B$17,'Control Panel'!$C$11:$C$17,"0")</f>
        <v>0.95</v>
      </c>
      <c r="F190" t="s">
        <v>18</v>
      </c>
      <c r="G190" s="9">
        <f>_xlfn.XLOOKUP(F190, 'Control Panel'!$B$20:$B$26,'Control Panel'!$C$20:$C$26,"0")</f>
        <v>0.35</v>
      </c>
      <c r="H190">
        <v>0</v>
      </c>
      <c r="I190">
        <f t="shared" si="2"/>
        <v>1.585</v>
      </c>
      <c r="J190">
        <f>MAX(300,SUM('Control Panel'!$B$1*I190))</f>
        <v>475.5</v>
      </c>
    </row>
    <row r="191" spans="1:10" x14ac:dyDescent="0.25">
      <c r="A191" s="5">
        <v>46205</v>
      </c>
      <c r="B191" s="7" t="s">
        <v>5</v>
      </c>
      <c r="C191" s="9" t="s">
        <v>16</v>
      </c>
      <c r="D191">
        <f>_xlfn.XLOOKUP(C191, 'Control Panel'!$B$4:$B$8,'Control Panel'!$C$4:$C$8,"0")</f>
        <v>1.3</v>
      </c>
      <c r="E191">
        <f>_xlfn.XLOOKUP(B191, 'Control Panel'!$B$11:$B$17,'Control Panel'!$C$11:$C$17,"0")</f>
        <v>0.95</v>
      </c>
      <c r="G191" s="9" t="str">
        <f>_xlfn.XLOOKUP(F191, 'Control Panel'!$B$20:$B$26,'Control Panel'!$C$20:$C$26,"0")</f>
        <v>0</v>
      </c>
      <c r="H191">
        <v>0</v>
      </c>
      <c r="I191">
        <f t="shared" si="2"/>
        <v>1.2349999999999999</v>
      </c>
      <c r="J191">
        <f>MAX(300,SUM('Control Panel'!$B$1*I191))</f>
        <v>370.49999999999994</v>
      </c>
    </row>
    <row r="192" spans="1:10" x14ac:dyDescent="0.25">
      <c r="A192" s="5">
        <v>46206</v>
      </c>
      <c r="B192" s="7" t="s">
        <v>8</v>
      </c>
      <c r="C192" s="9" t="s">
        <v>16</v>
      </c>
      <c r="D192">
        <f>_xlfn.XLOOKUP(C192, 'Control Panel'!$B$4:$B$8,'Control Panel'!$C$4:$C$8,"0")</f>
        <v>1.3</v>
      </c>
      <c r="E192">
        <f>_xlfn.XLOOKUP(B192, 'Control Panel'!$B$11:$B$17,'Control Panel'!$C$11:$C$17,"0")</f>
        <v>1.1000000000000001</v>
      </c>
      <c r="G192" s="9" t="str">
        <f>_xlfn.XLOOKUP(F192, 'Control Panel'!$B$20:$B$26,'Control Panel'!$C$20:$C$26,"0")</f>
        <v>0</v>
      </c>
      <c r="H192">
        <v>0</v>
      </c>
      <c r="I192">
        <f t="shared" si="2"/>
        <v>1.4300000000000002</v>
      </c>
      <c r="J192">
        <f>MAX(300,SUM('Control Panel'!$B$1*I192))</f>
        <v>429.00000000000006</v>
      </c>
    </row>
    <row r="193" spans="1:10" x14ac:dyDescent="0.25">
      <c r="A193" s="5">
        <v>46207</v>
      </c>
      <c r="B193" s="7" t="s">
        <v>9</v>
      </c>
      <c r="C193" s="9" t="s">
        <v>16</v>
      </c>
      <c r="D193">
        <f>_xlfn.XLOOKUP(C193, 'Control Panel'!$B$4:$B$8,'Control Panel'!$C$4:$C$8,"0")</f>
        <v>1.3</v>
      </c>
      <c r="E193">
        <f>_xlfn.XLOOKUP(B193, 'Control Panel'!$B$11:$B$17,'Control Panel'!$C$11:$C$17,"0")</f>
        <v>1.25</v>
      </c>
      <c r="G193" s="9" t="str">
        <f>_xlfn.XLOOKUP(F193, 'Control Panel'!$B$20:$B$26,'Control Panel'!$C$20:$C$26,"0")</f>
        <v>0</v>
      </c>
      <c r="H193">
        <v>0</v>
      </c>
      <c r="I193">
        <f t="shared" si="2"/>
        <v>1.625</v>
      </c>
      <c r="J193">
        <f>MAX(300,SUM('Control Panel'!$B$1*I193))</f>
        <v>487.5</v>
      </c>
    </row>
    <row r="194" spans="1:10" x14ac:dyDescent="0.25">
      <c r="A194" s="5">
        <v>46208</v>
      </c>
      <c r="B194" s="7" t="s">
        <v>10</v>
      </c>
      <c r="C194" s="9" t="s">
        <v>16</v>
      </c>
      <c r="D194">
        <f>_xlfn.XLOOKUP(C194, 'Control Panel'!$B$4:$B$8,'Control Panel'!$C$4:$C$8,"0")</f>
        <v>1.3</v>
      </c>
      <c r="E194">
        <f>_xlfn.XLOOKUP(B194, 'Control Panel'!$B$11:$B$17,'Control Panel'!$C$11:$C$17,"0")</f>
        <v>1.05</v>
      </c>
      <c r="G194" s="9" t="str">
        <f>_xlfn.XLOOKUP(F194, 'Control Panel'!$B$20:$B$26,'Control Panel'!$C$20:$C$26,"0")</f>
        <v>0</v>
      </c>
      <c r="H194">
        <v>0</v>
      </c>
      <c r="I194">
        <f t="shared" si="2"/>
        <v>1.3650000000000002</v>
      </c>
      <c r="J194">
        <f>MAX(300,SUM('Control Panel'!$B$1*I194))</f>
        <v>409.50000000000006</v>
      </c>
    </row>
    <row r="195" spans="1:10" s="18" customFormat="1" x14ac:dyDescent="0.25">
      <c r="A195" s="15">
        <v>46209</v>
      </c>
      <c r="B195" s="16" t="s">
        <v>11</v>
      </c>
      <c r="C195" s="17" t="s">
        <v>16</v>
      </c>
      <c r="D195">
        <f>_xlfn.XLOOKUP(C195, 'Control Panel'!$B$4:$B$8,'Control Panel'!$C$4:$C$8,"0")</f>
        <v>1.3</v>
      </c>
      <c r="E195">
        <f>_xlfn.XLOOKUP(B195, 'Control Panel'!$B$11:$B$17,'Control Panel'!$C$11:$C$17,"0")</f>
        <v>0.95</v>
      </c>
      <c r="G195" s="17" t="str">
        <f>_xlfn.XLOOKUP(F195, 'Control Panel'!$B$20:$B$26,'Control Panel'!$C$20:$C$26,"0")</f>
        <v>0</v>
      </c>
      <c r="H195" s="18">
        <v>0</v>
      </c>
      <c r="I195" s="18">
        <f t="shared" si="2"/>
        <v>1.2349999999999999</v>
      </c>
      <c r="J195" s="18">
        <f>MAX(300,SUM('Control Panel'!$B$1*I195))</f>
        <v>370.49999999999994</v>
      </c>
    </row>
    <row r="196" spans="1:10" s="18" customFormat="1" x14ac:dyDescent="0.25">
      <c r="A196" s="15">
        <v>46210</v>
      </c>
      <c r="B196" s="16" t="s">
        <v>12</v>
      </c>
      <c r="C196" s="17" t="s">
        <v>16</v>
      </c>
      <c r="D196">
        <f>_xlfn.XLOOKUP(C196, 'Control Panel'!$B$4:$B$8,'Control Panel'!$C$4:$C$8,"0")</f>
        <v>1.3</v>
      </c>
      <c r="E196">
        <f>_xlfn.XLOOKUP(B196, 'Control Panel'!$B$11:$B$17,'Control Panel'!$C$11:$C$17,"0")</f>
        <v>0.95</v>
      </c>
      <c r="G196" s="17" t="str">
        <f>_xlfn.XLOOKUP(F196, 'Control Panel'!$B$20:$B$26,'Control Panel'!$C$20:$C$26,"0")</f>
        <v>0</v>
      </c>
      <c r="H196" s="18">
        <v>0</v>
      </c>
      <c r="I196" s="18">
        <f t="shared" si="2"/>
        <v>1.2349999999999999</v>
      </c>
      <c r="J196" s="18">
        <f>MAX(300,SUM('Control Panel'!$B$1*I196))</f>
        <v>370.49999999999994</v>
      </c>
    </row>
    <row r="197" spans="1:10" s="18" customFormat="1" x14ac:dyDescent="0.25">
      <c r="A197" s="15">
        <v>46211</v>
      </c>
      <c r="B197" s="16" t="s">
        <v>13</v>
      </c>
      <c r="C197" s="17" t="s">
        <v>16</v>
      </c>
      <c r="D197">
        <f>_xlfn.XLOOKUP(C197, 'Control Panel'!$B$4:$B$8,'Control Panel'!$C$4:$C$8,"0")</f>
        <v>1.3</v>
      </c>
      <c r="E197">
        <f>_xlfn.XLOOKUP(B197, 'Control Panel'!$B$11:$B$17,'Control Panel'!$C$11:$C$17,"0")</f>
        <v>0.95</v>
      </c>
      <c r="G197" s="17" t="str">
        <f>_xlfn.XLOOKUP(F197, 'Control Panel'!$B$20:$B$26,'Control Panel'!$C$20:$C$26,"0")</f>
        <v>0</v>
      </c>
      <c r="H197" s="18">
        <v>0</v>
      </c>
      <c r="I197" s="18">
        <f t="shared" si="2"/>
        <v>1.2349999999999999</v>
      </c>
      <c r="J197" s="18">
        <f>MAX(300,SUM('Control Panel'!$B$1*I197))</f>
        <v>370.49999999999994</v>
      </c>
    </row>
    <row r="198" spans="1:10" s="18" customFormat="1" x14ac:dyDescent="0.25">
      <c r="A198" s="15">
        <v>46212</v>
      </c>
      <c r="B198" s="16" t="s">
        <v>5</v>
      </c>
      <c r="C198" s="17" t="s">
        <v>16</v>
      </c>
      <c r="D198">
        <f>_xlfn.XLOOKUP(C198, 'Control Panel'!$B$4:$B$8,'Control Panel'!$C$4:$C$8,"0")</f>
        <v>1.3</v>
      </c>
      <c r="E198">
        <f>_xlfn.XLOOKUP(B198, 'Control Panel'!$B$11:$B$17,'Control Panel'!$C$11:$C$17,"0")</f>
        <v>0.95</v>
      </c>
      <c r="G198" s="17" t="str">
        <f>_xlfn.XLOOKUP(F198, 'Control Panel'!$B$20:$B$26,'Control Panel'!$C$20:$C$26,"0")</f>
        <v>0</v>
      </c>
      <c r="H198" s="18">
        <v>0</v>
      </c>
      <c r="I198" s="18">
        <f t="shared" si="2"/>
        <v>1.2349999999999999</v>
      </c>
      <c r="J198" s="18">
        <f>MAX(300,SUM('Control Panel'!$B$1*I198))</f>
        <v>370.49999999999994</v>
      </c>
    </row>
    <row r="199" spans="1:10" s="18" customFormat="1" x14ac:dyDescent="0.25">
      <c r="A199" s="15">
        <v>46213</v>
      </c>
      <c r="B199" s="16" t="s">
        <v>8</v>
      </c>
      <c r="C199" s="17" t="s">
        <v>16</v>
      </c>
      <c r="D199">
        <f>_xlfn.XLOOKUP(C199, 'Control Panel'!$B$4:$B$8,'Control Panel'!$C$4:$C$8,"0")</f>
        <v>1.3</v>
      </c>
      <c r="E199">
        <f>_xlfn.XLOOKUP(B199, 'Control Panel'!$B$11:$B$17,'Control Panel'!$C$11:$C$17,"0")</f>
        <v>1.1000000000000001</v>
      </c>
      <c r="G199" s="17" t="str">
        <f>_xlfn.XLOOKUP(F199, 'Control Panel'!$B$20:$B$26,'Control Panel'!$C$20:$C$26,"0")</f>
        <v>0</v>
      </c>
      <c r="H199" s="18">
        <v>0</v>
      </c>
      <c r="I199" s="18">
        <f t="shared" si="2"/>
        <v>1.4300000000000002</v>
      </c>
      <c r="J199" s="18">
        <f>MAX(300,SUM('Control Panel'!$B$1*I199))</f>
        <v>429.00000000000006</v>
      </c>
    </row>
    <row r="200" spans="1:10" s="18" customFormat="1" x14ac:dyDescent="0.25">
      <c r="A200" s="15">
        <v>46214</v>
      </c>
      <c r="B200" s="16" t="s">
        <v>9</v>
      </c>
      <c r="C200" s="17" t="s">
        <v>16</v>
      </c>
      <c r="D200">
        <f>_xlfn.XLOOKUP(C200, 'Control Panel'!$B$4:$B$8,'Control Panel'!$C$4:$C$8,"0")</f>
        <v>1.3</v>
      </c>
      <c r="E200">
        <f>_xlfn.XLOOKUP(B200, 'Control Panel'!$B$11:$B$17,'Control Panel'!$C$11:$C$17,"0")</f>
        <v>1.25</v>
      </c>
      <c r="G200" s="17" t="str">
        <f>_xlfn.XLOOKUP(F200, 'Control Panel'!$B$20:$B$26,'Control Panel'!$C$20:$C$26,"0")</f>
        <v>0</v>
      </c>
      <c r="H200" s="18">
        <v>0</v>
      </c>
      <c r="I200" s="18">
        <f t="shared" si="2"/>
        <v>1.625</v>
      </c>
      <c r="J200" s="18">
        <f>MAX(300,SUM('Control Panel'!$B$1*I200))</f>
        <v>487.5</v>
      </c>
    </row>
    <row r="201" spans="1:10" s="18" customFormat="1" x14ac:dyDescent="0.25">
      <c r="A201" s="15">
        <v>46215</v>
      </c>
      <c r="B201" s="16" t="s">
        <v>10</v>
      </c>
      <c r="C201" s="17" t="s">
        <v>16</v>
      </c>
      <c r="D201">
        <f>_xlfn.XLOOKUP(C201, 'Control Panel'!$B$4:$B$8,'Control Panel'!$C$4:$C$8,"0")</f>
        <v>1.3</v>
      </c>
      <c r="E201">
        <f>_xlfn.XLOOKUP(B201, 'Control Panel'!$B$11:$B$17,'Control Panel'!$C$11:$C$17,"0")</f>
        <v>1.05</v>
      </c>
      <c r="G201" s="17" t="str">
        <f>_xlfn.XLOOKUP(F201, 'Control Panel'!$B$20:$B$26,'Control Panel'!$C$20:$C$26,"0")</f>
        <v>0</v>
      </c>
      <c r="H201" s="18">
        <v>0</v>
      </c>
      <c r="I201" s="18">
        <f t="shared" si="2"/>
        <v>1.3650000000000002</v>
      </c>
      <c r="J201" s="18">
        <f>MAX(300,SUM('Control Panel'!$B$1*I201))</f>
        <v>409.50000000000006</v>
      </c>
    </row>
    <row r="202" spans="1:10" x14ac:dyDescent="0.25">
      <c r="A202" s="5">
        <v>46216</v>
      </c>
      <c r="B202" s="7" t="s">
        <v>11</v>
      </c>
      <c r="C202" s="9" t="s">
        <v>16</v>
      </c>
      <c r="D202">
        <f>_xlfn.XLOOKUP(C202, 'Control Panel'!$B$4:$B$8,'Control Panel'!$C$4:$C$8,"0")</f>
        <v>1.3</v>
      </c>
      <c r="E202">
        <f>_xlfn.XLOOKUP(B202, 'Control Panel'!$B$11:$B$17,'Control Panel'!$C$11:$C$17,"0")</f>
        <v>0.95</v>
      </c>
      <c r="G202" s="9" t="str">
        <f>_xlfn.XLOOKUP(F202, 'Control Panel'!$B$20:$B$26,'Control Panel'!$C$20:$C$26,"0")</f>
        <v>0</v>
      </c>
      <c r="H202">
        <v>0</v>
      </c>
      <c r="I202">
        <f t="shared" si="2"/>
        <v>1.2349999999999999</v>
      </c>
      <c r="J202">
        <f>MAX(300,SUM('Control Panel'!$B$1*I202))</f>
        <v>370.49999999999994</v>
      </c>
    </row>
    <row r="203" spans="1:10" x14ac:dyDescent="0.25">
      <c r="A203" s="5">
        <v>46217</v>
      </c>
      <c r="B203" s="7" t="s">
        <v>12</v>
      </c>
      <c r="C203" s="9" t="s">
        <v>16</v>
      </c>
      <c r="D203">
        <f>_xlfn.XLOOKUP(C203, 'Control Panel'!$B$4:$B$8,'Control Panel'!$C$4:$C$8,"0")</f>
        <v>1.3</v>
      </c>
      <c r="E203">
        <f>_xlfn.XLOOKUP(B203, 'Control Panel'!$B$11:$B$17,'Control Panel'!$C$11:$C$17,"0")</f>
        <v>0.95</v>
      </c>
      <c r="G203" s="9" t="str">
        <f>_xlfn.XLOOKUP(F203, 'Control Panel'!$B$20:$B$26,'Control Panel'!$C$20:$C$26,"0")</f>
        <v>0</v>
      </c>
      <c r="H203">
        <v>0</v>
      </c>
      <c r="I203">
        <f t="shared" ref="I203:I268" si="3">(D203*E203)+G203+H203</f>
        <v>1.2349999999999999</v>
      </c>
      <c r="J203">
        <f>MAX(300,SUM('Control Panel'!$B$1*I203))</f>
        <v>370.49999999999994</v>
      </c>
    </row>
    <row r="204" spans="1:10" x14ac:dyDescent="0.25">
      <c r="A204" s="5">
        <v>46218</v>
      </c>
      <c r="B204" s="7" t="s">
        <v>13</v>
      </c>
      <c r="C204" s="9" t="s">
        <v>16</v>
      </c>
      <c r="D204">
        <f>_xlfn.XLOOKUP(C204, 'Control Panel'!$B$4:$B$8,'Control Panel'!$C$4:$C$8,"0")</f>
        <v>1.3</v>
      </c>
      <c r="E204">
        <f>_xlfn.XLOOKUP(B204, 'Control Panel'!$B$11:$B$17,'Control Panel'!$C$11:$C$17,"0")</f>
        <v>0.95</v>
      </c>
      <c r="G204" s="9" t="str">
        <f>_xlfn.XLOOKUP(F204, 'Control Panel'!$B$20:$B$26,'Control Panel'!$C$20:$C$26,"0")</f>
        <v>0</v>
      </c>
      <c r="H204">
        <v>0</v>
      </c>
      <c r="I204">
        <f t="shared" si="3"/>
        <v>1.2349999999999999</v>
      </c>
      <c r="J204">
        <f>MAX(300,SUM('Control Panel'!$B$1*I204))</f>
        <v>370.49999999999994</v>
      </c>
    </row>
    <row r="205" spans="1:10" x14ac:dyDescent="0.25">
      <c r="A205" s="5">
        <v>46219</v>
      </c>
      <c r="B205" s="7" t="s">
        <v>5</v>
      </c>
      <c r="C205" s="9" t="s">
        <v>16</v>
      </c>
      <c r="D205">
        <f>_xlfn.XLOOKUP(C205, 'Control Panel'!$B$4:$B$8,'Control Panel'!$C$4:$C$8,"0")</f>
        <v>1.3</v>
      </c>
      <c r="E205">
        <f>_xlfn.XLOOKUP(B205, 'Control Panel'!$B$11:$B$17,'Control Panel'!$C$11:$C$17,"0")</f>
        <v>0.95</v>
      </c>
      <c r="G205" s="9" t="str">
        <f>_xlfn.XLOOKUP(F205, 'Control Panel'!$B$20:$B$26,'Control Panel'!$C$20:$C$26,"0")</f>
        <v>0</v>
      </c>
      <c r="H205">
        <v>0</v>
      </c>
      <c r="I205">
        <f t="shared" si="3"/>
        <v>1.2349999999999999</v>
      </c>
      <c r="J205">
        <f>MAX(300,SUM('Control Panel'!$B$1*I205))</f>
        <v>370.49999999999994</v>
      </c>
    </row>
    <row r="206" spans="1:10" x14ac:dyDescent="0.25">
      <c r="A206" s="5">
        <v>46220</v>
      </c>
      <c r="B206" s="7" t="s">
        <v>8</v>
      </c>
      <c r="C206" s="9" t="s">
        <v>16</v>
      </c>
      <c r="D206">
        <f>_xlfn.XLOOKUP(C206, 'Control Panel'!$B$4:$B$8,'Control Panel'!$C$4:$C$8,"0")</f>
        <v>1.3</v>
      </c>
      <c r="E206">
        <f>_xlfn.XLOOKUP(B206, 'Control Panel'!$B$11:$B$17,'Control Panel'!$C$11:$C$17,"0")</f>
        <v>1.1000000000000001</v>
      </c>
      <c r="G206" s="9" t="str">
        <f>_xlfn.XLOOKUP(F206, 'Control Panel'!$B$20:$B$26,'Control Panel'!$C$20:$C$26,"0")</f>
        <v>0</v>
      </c>
      <c r="H206">
        <v>0</v>
      </c>
      <c r="I206">
        <f t="shared" si="3"/>
        <v>1.4300000000000002</v>
      </c>
      <c r="J206">
        <f>MAX(300,SUM('Control Panel'!$B$1*I206))</f>
        <v>429.00000000000006</v>
      </c>
    </row>
    <row r="207" spans="1:10" x14ac:dyDescent="0.25">
      <c r="A207" s="5">
        <v>46221</v>
      </c>
      <c r="B207" s="7" t="s">
        <v>9</v>
      </c>
      <c r="C207" s="9" t="s">
        <v>16</v>
      </c>
      <c r="D207">
        <f>_xlfn.XLOOKUP(C207, 'Control Panel'!$B$4:$B$8,'Control Panel'!$C$4:$C$8,"0")</f>
        <v>1.3</v>
      </c>
      <c r="E207">
        <f>_xlfn.XLOOKUP(B207, 'Control Panel'!$B$11:$B$17,'Control Panel'!$C$11:$C$17,"0")</f>
        <v>1.25</v>
      </c>
      <c r="G207" s="9" t="str">
        <f>_xlfn.XLOOKUP(F207, 'Control Panel'!$B$20:$B$26,'Control Panel'!$C$20:$C$26,"0")</f>
        <v>0</v>
      </c>
      <c r="H207">
        <v>0</v>
      </c>
      <c r="I207">
        <f t="shared" si="3"/>
        <v>1.625</v>
      </c>
      <c r="J207">
        <f>MAX(300,SUM('Control Panel'!$B$1*I207))</f>
        <v>487.5</v>
      </c>
    </row>
    <row r="208" spans="1:10" x14ac:dyDescent="0.25">
      <c r="A208" s="5">
        <v>46222</v>
      </c>
      <c r="B208" s="7" t="s">
        <v>10</v>
      </c>
      <c r="C208" s="9" t="s">
        <v>16</v>
      </c>
      <c r="D208">
        <f>_xlfn.XLOOKUP(C208, 'Control Panel'!$B$4:$B$8,'Control Panel'!$C$4:$C$8,"0")</f>
        <v>1.3</v>
      </c>
      <c r="E208">
        <f>_xlfn.XLOOKUP(B208, 'Control Panel'!$B$11:$B$17,'Control Panel'!$C$11:$C$17,"0")</f>
        <v>1.05</v>
      </c>
      <c r="G208" s="9" t="str">
        <f>_xlfn.XLOOKUP(F208, 'Control Panel'!$B$20:$B$26,'Control Panel'!$C$20:$C$26,"0")</f>
        <v>0</v>
      </c>
      <c r="H208">
        <v>0</v>
      </c>
      <c r="I208">
        <f t="shared" si="3"/>
        <v>1.3650000000000002</v>
      </c>
      <c r="J208">
        <f>MAX(300,SUM('Control Panel'!$B$1*I208))</f>
        <v>409.50000000000006</v>
      </c>
    </row>
    <row r="209" spans="1:10" s="18" customFormat="1" x14ac:dyDescent="0.25">
      <c r="A209" s="15">
        <v>46223</v>
      </c>
      <c r="B209" s="16" t="s">
        <v>11</v>
      </c>
      <c r="C209" s="17" t="s">
        <v>16</v>
      </c>
      <c r="D209">
        <f>_xlfn.XLOOKUP(C209, 'Control Panel'!$B$4:$B$8,'Control Panel'!$C$4:$C$8,"0")</f>
        <v>1.3</v>
      </c>
      <c r="E209">
        <f>_xlfn.XLOOKUP(B209, 'Control Panel'!$B$11:$B$17,'Control Panel'!$C$11:$C$17,"0")</f>
        <v>0.95</v>
      </c>
      <c r="F209" s="18" t="s">
        <v>19</v>
      </c>
      <c r="G209" s="17">
        <f>_xlfn.XLOOKUP(F209, 'Control Panel'!$B$20:$B$26,'Control Panel'!$C$20:$C$26,"0")</f>
        <v>0.45</v>
      </c>
      <c r="H209" s="18">
        <v>0</v>
      </c>
      <c r="I209" s="18">
        <f t="shared" si="3"/>
        <v>1.6849999999999998</v>
      </c>
      <c r="J209" s="18">
        <f>MAX(300,SUM('Control Panel'!$B$1*I209))</f>
        <v>505.49999999999994</v>
      </c>
    </row>
    <row r="210" spans="1:10" s="18" customFormat="1" x14ac:dyDescent="0.25">
      <c r="A210" s="15">
        <v>46224</v>
      </c>
      <c r="B210" s="16" t="s">
        <v>12</v>
      </c>
      <c r="C210" s="17" t="s">
        <v>16</v>
      </c>
      <c r="D210">
        <f>_xlfn.XLOOKUP(C210, 'Control Panel'!$B$4:$B$8,'Control Panel'!$C$4:$C$8,"0")</f>
        <v>1.3</v>
      </c>
      <c r="E210">
        <f>_xlfn.XLOOKUP(B210, 'Control Panel'!$B$11:$B$17,'Control Panel'!$C$11:$C$17,"0")</f>
        <v>0.95</v>
      </c>
      <c r="F210" s="18" t="s">
        <v>19</v>
      </c>
      <c r="G210" s="17">
        <f>_xlfn.XLOOKUP(F210, 'Control Panel'!$B$20:$B$26,'Control Panel'!$C$20:$C$26,"0")</f>
        <v>0.45</v>
      </c>
      <c r="H210" s="18">
        <v>0</v>
      </c>
      <c r="I210" s="18">
        <f t="shared" si="3"/>
        <v>1.6849999999999998</v>
      </c>
      <c r="J210" s="18">
        <f>MAX(300,SUM('Control Panel'!$B$1*I210))</f>
        <v>505.49999999999994</v>
      </c>
    </row>
    <row r="211" spans="1:10" s="18" customFormat="1" x14ac:dyDescent="0.25">
      <c r="A211" s="15">
        <v>46225</v>
      </c>
      <c r="B211" s="16" t="s">
        <v>13</v>
      </c>
      <c r="C211" s="17" t="s">
        <v>16</v>
      </c>
      <c r="D211">
        <f>_xlfn.XLOOKUP(C211, 'Control Panel'!$B$4:$B$8,'Control Panel'!$C$4:$C$8,"0")</f>
        <v>1.3</v>
      </c>
      <c r="E211">
        <f>_xlfn.XLOOKUP(B211, 'Control Panel'!$B$11:$B$17,'Control Panel'!$C$11:$C$17,"0")</f>
        <v>0.95</v>
      </c>
      <c r="F211" s="18" t="s">
        <v>19</v>
      </c>
      <c r="G211" s="17">
        <f>_xlfn.XLOOKUP(F211, 'Control Panel'!$B$20:$B$26,'Control Panel'!$C$20:$C$26,"0")</f>
        <v>0.45</v>
      </c>
      <c r="H211" s="18">
        <v>0</v>
      </c>
      <c r="I211" s="18">
        <f t="shared" si="3"/>
        <v>1.6849999999999998</v>
      </c>
      <c r="J211" s="18">
        <f>MAX(300,SUM('Control Panel'!$B$1*I211))</f>
        <v>505.49999999999994</v>
      </c>
    </row>
    <row r="212" spans="1:10" s="18" customFormat="1" x14ac:dyDescent="0.25">
      <c r="A212" s="15">
        <v>46226</v>
      </c>
      <c r="B212" s="16" t="s">
        <v>5</v>
      </c>
      <c r="C212" s="17" t="s">
        <v>16</v>
      </c>
      <c r="D212">
        <f>_xlfn.XLOOKUP(C212, 'Control Panel'!$B$4:$B$8,'Control Panel'!$C$4:$C$8,"0")</f>
        <v>1.3</v>
      </c>
      <c r="E212">
        <f>_xlfn.XLOOKUP(B212, 'Control Panel'!$B$11:$B$17,'Control Panel'!$C$11:$C$17,"0")</f>
        <v>0.95</v>
      </c>
      <c r="F212" s="18" t="s">
        <v>19</v>
      </c>
      <c r="G212" s="17">
        <f>_xlfn.XLOOKUP(F212, 'Control Panel'!$B$20:$B$26,'Control Panel'!$C$20:$C$26,"0")</f>
        <v>0.45</v>
      </c>
      <c r="H212" s="18">
        <v>0</v>
      </c>
      <c r="I212" s="18">
        <f t="shared" si="3"/>
        <v>1.6849999999999998</v>
      </c>
      <c r="J212" s="18">
        <f>MAX(300,SUM('Control Panel'!$B$1*I212))</f>
        <v>505.49999999999994</v>
      </c>
    </row>
    <row r="213" spans="1:10" s="18" customFormat="1" x14ac:dyDescent="0.25">
      <c r="A213" s="15">
        <v>46227</v>
      </c>
      <c r="B213" s="16" t="s">
        <v>8</v>
      </c>
      <c r="C213" s="17" t="s">
        <v>16</v>
      </c>
      <c r="D213">
        <f>_xlfn.XLOOKUP(C213, 'Control Panel'!$B$4:$B$8,'Control Panel'!$C$4:$C$8,"0")</f>
        <v>1.3</v>
      </c>
      <c r="E213">
        <f>_xlfn.XLOOKUP(B213, 'Control Panel'!$B$11:$B$17,'Control Panel'!$C$11:$C$17,"0")</f>
        <v>1.1000000000000001</v>
      </c>
      <c r="F213" s="18" t="s">
        <v>19</v>
      </c>
      <c r="G213" s="17">
        <f>_xlfn.XLOOKUP(F213, 'Control Panel'!$B$20:$B$26,'Control Panel'!$C$20:$C$26,"0")</f>
        <v>0.45</v>
      </c>
      <c r="H213" s="18">
        <v>0</v>
      </c>
      <c r="I213" s="18">
        <f t="shared" si="3"/>
        <v>1.8800000000000001</v>
      </c>
      <c r="J213" s="18">
        <f>MAX(300,SUM('Control Panel'!$B$1*I213))</f>
        <v>564</v>
      </c>
    </row>
    <row r="214" spans="1:10" s="18" customFormat="1" x14ac:dyDescent="0.25">
      <c r="A214" s="15">
        <v>46228</v>
      </c>
      <c r="B214" s="16" t="s">
        <v>9</v>
      </c>
      <c r="C214" s="17" t="s">
        <v>16</v>
      </c>
      <c r="D214">
        <f>_xlfn.XLOOKUP(C214, 'Control Panel'!$B$4:$B$8,'Control Panel'!$C$4:$C$8,"0")</f>
        <v>1.3</v>
      </c>
      <c r="E214">
        <f>_xlfn.XLOOKUP(B214, 'Control Panel'!$B$11:$B$17,'Control Panel'!$C$11:$C$17,"0")</f>
        <v>1.25</v>
      </c>
      <c r="F214" s="18" t="s">
        <v>19</v>
      </c>
      <c r="G214" s="17">
        <f>_xlfn.XLOOKUP(F214, 'Control Panel'!$B$20:$B$26,'Control Panel'!$C$20:$C$26,"0")</f>
        <v>0.45</v>
      </c>
      <c r="H214" s="18">
        <v>0</v>
      </c>
      <c r="I214" s="18">
        <f t="shared" si="3"/>
        <v>2.0750000000000002</v>
      </c>
      <c r="J214" s="18">
        <f>MAX(300,SUM('Control Panel'!$B$1*I214))</f>
        <v>622.5</v>
      </c>
    </row>
    <row r="215" spans="1:10" s="18" customFormat="1" x14ac:dyDescent="0.25">
      <c r="A215" s="15">
        <v>46229</v>
      </c>
      <c r="B215" s="16" t="s">
        <v>10</v>
      </c>
      <c r="C215" s="17" t="s">
        <v>16</v>
      </c>
      <c r="D215">
        <f>_xlfn.XLOOKUP(C215, 'Control Panel'!$B$4:$B$8,'Control Panel'!$C$4:$C$8,"0")</f>
        <v>1.3</v>
      </c>
      <c r="E215">
        <f>_xlfn.XLOOKUP(B215, 'Control Panel'!$B$11:$B$17,'Control Panel'!$C$11:$C$17,"0")</f>
        <v>1.05</v>
      </c>
      <c r="F215" s="18" t="s">
        <v>19</v>
      </c>
      <c r="G215" s="17">
        <f>_xlfn.XLOOKUP(F215, 'Control Panel'!$B$20:$B$26,'Control Panel'!$C$20:$C$26,"0")</f>
        <v>0.45</v>
      </c>
      <c r="H215" s="18">
        <v>0</v>
      </c>
      <c r="I215" s="18">
        <f t="shared" si="3"/>
        <v>1.8150000000000002</v>
      </c>
      <c r="J215" s="18">
        <f>MAX(300,SUM('Control Panel'!$B$1*I215))</f>
        <v>544.5</v>
      </c>
    </row>
    <row r="216" spans="1:10" x14ac:dyDescent="0.25">
      <c r="A216" s="5">
        <v>46230</v>
      </c>
      <c r="B216" s="7" t="s">
        <v>11</v>
      </c>
      <c r="C216" s="9" t="s">
        <v>16</v>
      </c>
      <c r="D216">
        <f>_xlfn.XLOOKUP(C216, 'Control Panel'!$B$4:$B$8,'Control Panel'!$C$4:$C$8,"0")</f>
        <v>1.3</v>
      </c>
      <c r="E216">
        <f>_xlfn.XLOOKUP(B216, 'Control Panel'!$B$11:$B$17,'Control Panel'!$C$11:$C$17,"0")</f>
        <v>0.95</v>
      </c>
      <c r="F216" t="s">
        <v>19</v>
      </c>
      <c r="G216" s="9">
        <f>_xlfn.XLOOKUP(F216, 'Control Panel'!$B$20:$B$26,'Control Panel'!$C$20:$C$26,"0")</f>
        <v>0.45</v>
      </c>
      <c r="H216">
        <v>0</v>
      </c>
      <c r="I216">
        <f t="shared" si="3"/>
        <v>1.6849999999999998</v>
      </c>
      <c r="J216">
        <f>MAX(300,SUM('Control Panel'!$B$1*I216))</f>
        <v>505.49999999999994</v>
      </c>
    </row>
    <row r="217" spans="1:10" x14ac:dyDescent="0.25">
      <c r="A217" s="5">
        <v>46231</v>
      </c>
      <c r="B217" s="7" t="s">
        <v>12</v>
      </c>
      <c r="C217" s="9" t="s">
        <v>16</v>
      </c>
      <c r="D217">
        <f>_xlfn.XLOOKUP(C217, 'Control Panel'!$B$4:$B$8,'Control Panel'!$C$4:$C$8,"0")</f>
        <v>1.3</v>
      </c>
      <c r="E217">
        <f>_xlfn.XLOOKUP(B217, 'Control Panel'!$B$11:$B$17,'Control Panel'!$C$11:$C$17,"0")</f>
        <v>0.95</v>
      </c>
      <c r="F217" t="s">
        <v>19</v>
      </c>
      <c r="G217" s="9">
        <f>_xlfn.XLOOKUP(F217, 'Control Panel'!$B$20:$B$26,'Control Panel'!$C$20:$C$26,"0")</f>
        <v>0.45</v>
      </c>
      <c r="H217">
        <v>0</v>
      </c>
      <c r="I217">
        <f t="shared" si="3"/>
        <v>1.6849999999999998</v>
      </c>
      <c r="J217">
        <f>MAX(300,SUM('Control Panel'!$B$1*I217))</f>
        <v>505.49999999999994</v>
      </c>
    </row>
    <row r="218" spans="1:10" x14ac:dyDescent="0.25">
      <c r="A218" s="5">
        <v>46232</v>
      </c>
      <c r="B218" s="7" t="s">
        <v>13</v>
      </c>
      <c r="C218" s="9" t="s">
        <v>16</v>
      </c>
      <c r="D218">
        <f>_xlfn.XLOOKUP(C218, 'Control Panel'!$B$4:$B$8,'Control Panel'!$C$4:$C$8,"0")</f>
        <v>1.3</v>
      </c>
      <c r="E218">
        <f>_xlfn.XLOOKUP(B218, 'Control Panel'!$B$11:$B$17,'Control Panel'!$C$11:$C$17,"0")</f>
        <v>0.95</v>
      </c>
      <c r="F218" t="s">
        <v>19</v>
      </c>
      <c r="G218" s="9">
        <f>_xlfn.XLOOKUP(F218, 'Control Panel'!$B$20:$B$26,'Control Panel'!$C$20:$C$26,"0")</f>
        <v>0.45</v>
      </c>
      <c r="H218">
        <v>0</v>
      </c>
      <c r="I218">
        <f t="shared" si="3"/>
        <v>1.6849999999999998</v>
      </c>
      <c r="J218">
        <f>MAX(300,SUM('Control Panel'!$B$1*I218))</f>
        <v>505.49999999999994</v>
      </c>
    </row>
    <row r="219" spans="1:10" x14ac:dyDescent="0.25">
      <c r="A219" s="5">
        <v>46233</v>
      </c>
      <c r="B219" s="7" t="s">
        <v>5</v>
      </c>
      <c r="C219" s="9" t="s">
        <v>16</v>
      </c>
      <c r="D219">
        <f>_xlfn.XLOOKUP(C219, 'Control Panel'!$B$4:$B$8,'Control Panel'!$C$4:$C$8,"0")</f>
        <v>1.3</v>
      </c>
      <c r="E219">
        <f>_xlfn.XLOOKUP(B219, 'Control Panel'!$B$11:$B$17,'Control Panel'!$C$11:$C$17,"0")</f>
        <v>0.95</v>
      </c>
      <c r="F219" t="s">
        <v>19</v>
      </c>
      <c r="G219" s="9">
        <f>_xlfn.XLOOKUP(F219, 'Control Panel'!$B$20:$B$26,'Control Panel'!$C$20:$C$26,"0")</f>
        <v>0.45</v>
      </c>
      <c r="H219">
        <v>0</v>
      </c>
      <c r="I219">
        <f t="shared" si="3"/>
        <v>1.6849999999999998</v>
      </c>
      <c r="J219">
        <f>MAX(300,SUM('Control Panel'!$B$1*I219))</f>
        <v>505.49999999999994</v>
      </c>
    </row>
    <row r="220" spans="1:10" x14ac:dyDescent="0.25">
      <c r="A220" s="5">
        <v>46234</v>
      </c>
      <c r="B220" s="7" t="s">
        <v>8</v>
      </c>
      <c r="C220" s="9" t="s">
        <v>16</v>
      </c>
      <c r="D220">
        <f>_xlfn.XLOOKUP(C220, 'Control Panel'!$B$4:$B$8,'Control Panel'!$C$4:$C$8,"0")</f>
        <v>1.3</v>
      </c>
      <c r="E220">
        <f>_xlfn.XLOOKUP(B220, 'Control Panel'!$B$11:$B$17,'Control Panel'!$C$11:$C$17,"0")</f>
        <v>1.1000000000000001</v>
      </c>
      <c r="F220" t="s">
        <v>19</v>
      </c>
      <c r="G220" s="9">
        <f>_xlfn.XLOOKUP(F220, 'Control Panel'!$B$20:$B$26,'Control Panel'!$C$20:$C$26,"0")</f>
        <v>0.45</v>
      </c>
      <c r="H220">
        <v>0</v>
      </c>
      <c r="I220">
        <f t="shared" si="3"/>
        <v>1.8800000000000001</v>
      </c>
      <c r="J220">
        <f>MAX(300,SUM('Control Panel'!$B$1*I220))</f>
        <v>564</v>
      </c>
    </row>
    <row r="221" spans="1:10" x14ac:dyDescent="0.25">
      <c r="A221" s="10" t="s">
        <v>39</v>
      </c>
      <c r="B221" s="13"/>
      <c r="C221" s="14"/>
      <c r="G221" s="9" t="str">
        <f>_xlfn.XLOOKUP(F221, 'Control Panel'!$B$20:$B$26,'Control Panel'!$C$20:$C$26,"0")</f>
        <v>0</v>
      </c>
    </row>
    <row r="222" spans="1:10" x14ac:dyDescent="0.25">
      <c r="A222" s="5">
        <v>46235</v>
      </c>
      <c r="B222" s="7" t="s">
        <v>9</v>
      </c>
      <c r="C222" s="9" t="s">
        <v>16</v>
      </c>
      <c r="D222">
        <f>_xlfn.XLOOKUP(C222, 'Control Panel'!$B$4:$B$8,'Control Panel'!$C$4:$C$8,"0")</f>
        <v>1.3</v>
      </c>
      <c r="E222">
        <f>_xlfn.XLOOKUP(B222, 'Control Panel'!$B$11:$B$17,'Control Panel'!$C$11:$C$17,"0")</f>
        <v>1.25</v>
      </c>
      <c r="G222" s="9" t="str">
        <f>_xlfn.XLOOKUP(F222, 'Control Panel'!$B$20:$B$26,'Control Panel'!$C$20:$C$26,"0")</f>
        <v>0</v>
      </c>
      <c r="H222">
        <v>0</v>
      </c>
      <c r="I222">
        <f t="shared" si="3"/>
        <v>1.625</v>
      </c>
      <c r="J222">
        <f>MAX(300,SUM('Control Panel'!$B$1*I222))</f>
        <v>487.5</v>
      </c>
    </row>
    <row r="223" spans="1:10" x14ac:dyDescent="0.25">
      <c r="A223" s="5">
        <v>46236</v>
      </c>
      <c r="B223" s="7" t="s">
        <v>10</v>
      </c>
      <c r="C223" s="9" t="s">
        <v>16</v>
      </c>
      <c r="D223">
        <f>_xlfn.XLOOKUP(C223, 'Control Panel'!$B$4:$B$8,'Control Panel'!$C$4:$C$8,"0")</f>
        <v>1.3</v>
      </c>
      <c r="E223">
        <f>_xlfn.XLOOKUP(B223, 'Control Panel'!$B$11:$B$17,'Control Panel'!$C$11:$C$17,"0")</f>
        <v>1.05</v>
      </c>
      <c r="G223" s="9" t="str">
        <f>_xlfn.XLOOKUP(F223, 'Control Panel'!$B$20:$B$26,'Control Panel'!$C$20:$C$26,"0")</f>
        <v>0</v>
      </c>
      <c r="H223">
        <v>0</v>
      </c>
      <c r="I223">
        <f t="shared" si="3"/>
        <v>1.3650000000000002</v>
      </c>
      <c r="J223">
        <f>MAX(300,SUM('Control Panel'!$B$1*I223))</f>
        <v>409.50000000000006</v>
      </c>
    </row>
    <row r="224" spans="1:10" s="18" customFormat="1" x14ac:dyDescent="0.25">
      <c r="A224" s="15">
        <v>46237</v>
      </c>
      <c r="B224" s="16" t="s">
        <v>11</v>
      </c>
      <c r="C224" s="17" t="s">
        <v>16</v>
      </c>
      <c r="D224">
        <f>_xlfn.XLOOKUP(C224, 'Control Panel'!$B$4:$B$8,'Control Panel'!$C$4:$C$8,"0")</f>
        <v>1.3</v>
      </c>
      <c r="E224">
        <f>_xlfn.XLOOKUP(B224, 'Control Panel'!$B$11:$B$17,'Control Panel'!$C$11:$C$17,"0")</f>
        <v>0.95</v>
      </c>
      <c r="G224" s="17" t="str">
        <f>_xlfn.XLOOKUP(F224, 'Control Panel'!$B$20:$B$26,'Control Panel'!$C$20:$C$26,"0")</f>
        <v>0</v>
      </c>
      <c r="H224" s="18">
        <v>0</v>
      </c>
      <c r="I224" s="18">
        <f t="shared" si="3"/>
        <v>1.2349999999999999</v>
      </c>
      <c r="J224" s="18">
        <f>MAX(300,SUM('Control Panel'!$B$1*I224))</f>
        <v>370.49999999999994</v>
      </c>
    </row>
    <row r="225" spans="1:10" s="18" customFormat="1" x14ac:dyDescent="0.25">
      <c r="A225" s="15">
        <v>46238</v>
      </c>
      <c r="B225" s="16" t="s">
        <v>12</v>
      </c>
      <c r="C225" s="17" t="s">
        <v>16</v>
      </c>
      <c r="D225">
        <f>_xlfn.XLOOKUP(C225, 'Control Panel'!$B$4:$B$8,'Control Panel'!$C$4:$C$8,"0")</f>
        <v>1.3</v>
      </c>
      <c r="E225">
        <f>_xlfn.XLOOKUP(B225, 'Control Panel'!$B$11:$B$17,'Control Panel'!$C$11:$C$17,"0")</f>
        <v>0.95</v>
      </c>
      <c r="G225" s="17" t="str">
        <f>_xlfn.XLOOKUP(F225, 'Control Panel'!$B$20:$B$26,'Control Panel'!$C$20:$C$26,"0")</f>
        <v>0</v>
      </c>
      <c r="H225" s="18">
        <v>0</v>
      </c>
      <c r="I225" s="18">
        <f t="shared" si="3"/>
        <v>1.2349999999999999</v>
      </c>
      <c r="J225" s="18">
        <f>MAX(300,SUM('Control Panel'!$B$1*I225))</f>
        <v>370.49999999999994</v>
      </c>
    </row>
    <row r="226" spans="1:10" s="18" customFormat="1" x14ac:dyDescent="0.25">
      <c r="A226" s="15">
        <v>46239</v>
      </c>
      <c r="B226" s="16" t="s">
        <v>13</v>
      </c>
      <c r="C226" s="17" t="s">
        <v>16</v>
      </c>
      <c r="D226">
        <f>_xlfn.XLOOKUP(C226, 'Control Panel'!$B$4:$B$8,'Control Panel'!$C$4:$C$8,"0")</f>
        <v>1.3</v>
      </c>
      <c r="E226">
        <f>_xlfn.XLOOKUP(B226, 'Control Panel'!$B$11:$B$17,'Control Panel'!$C$11:$C$17,"0")</f>
        <v>0.95</v>
      </c>
      <c r="G226" s="17" t="str">
        <f>_xlfn.XLOOKUP(F226, 'Control Panel'!$B$20:$B$26,'Control Panel'!$C$20:$C$26,"0")</f>
        <v>0</v>
      </c>
      <c r="H226" s="18">
        <v>0</v>
      </c>
      <c r="I226" s="18">
        <f t="shared" si="3"/>
        <v>1.2349999999999999</v>
      </c>
      <c r="J226" s="18">
        <f>MAX(300,SUM('Control Panel'!$B$1*I226))</f>
        <v>370.49999999999994</v>
      </c>
    </row>
    <row r="227" spans="1:10" s="18" customFormat="1" x14ac:dyDescent="0.25">
      <c r="A227" s="15">
        <v>46240</v>
      </c>
      <c r="B227" s="16" t="s">
        <v>5</v>
      </c>
      <c r="C227" s="17" t="s">
        <v>16</v>
      </c>
      <c r="D227">
        <f>_xlfn.XLOOKUP(C227, 'Control Panel'!$B$4:$B$8,'Control Panel'!$C$4:$C$8,"0")</f>
        <v>1.3</v>
      </c>
      <c r="E227">
        <f>_xlfn.XLOOKUP(B227, 'Control Panel'!$B$11:$B$17,'Control Panel'!$C$11:$C$17,"0")</f>
        <v>0.95</v>
      </c>
      <c r="G227" s="17" t="str">
        <f>_xlfn.XLOOKUP(F227, 'Control Panel'!$B$20:$B$26,'Control Panel'!$C$20:$C$26,"0")</f>
        <v>0</v>
      </c>
      <c r="H227" s="18">
        <v>0</v>
      </c>
      <c r="I227" s="18">
        <f t="shared" si="3"/>
        <v>1.2349999999999999</v>
      </c>
      <c r="J227" s="18">
        <f>MAX(300,SUM('Control Panel'!$B$1*I227))</f>
        <v>370.49999999999994</v>
      </c>
    </row>
    <row r="228" spans="1:10" s="18" customFormat="1" x14ac:dyDescent="0.25">
      <c r="A228" s="15">
        <v>46241</v>
      </c>
      <c r="B228" s="16" t="s">
        <v>8</v>
      </c>
      <c r="C228" s="17" t="s">
        <v>16</v>
      </c>
      <c r="D228">
        <f>_xlfn.XLOOKUP(C228, 'Control Panel'!$B$4:$B$8,'Control Panel'!$C$4:$C$8,"0")</f>
        <v>1.3</v>
      </c>
      <c r="E228">
        <f>_xlfn.XLOOKUP(B228, 'Control Panel'!$B$11:$B$17,'Control Panel'!$C$11:$C$17,"0")</f>
        <v>1.1000000000000001</v>
      </c>
      <c r="G228" s="17" t="str">
        <f>_xlfn.XLOOKUP(F228, 'Control Panel'!$B$20:$B$26,'Control Panel'!$C$20:$C$26,"0")</f>
        <v>0</v>
      </c>
      <c r="H228" s="18">
        <v>0</v>
      </c>
      <c r="I228" s="18">
        <f t="shared" si="3"/>
        <v>1.4300000000000002</v>
      </c>
      <c r="J228" s="18">
        <f>MAX(300,SUM('Control Panel'!$B$1*I228))</f>
        <v>429.00000000000006</v>
      </c>
    </row>
    <row r="229" spans="1:10" s="18" customFormat="1" x14ac:dyDescent="0.25">
      <c r="A229" s="15">
        <v>46242</v>
      </c>
      <c r="B229" s="16" t="s">
        <v>9</v>
      </c>
      <c r="C229" s="17" t="s">
        <v>16</v>
      </c>
      <c r="D229">
        <f>_xlfn.XLOOKUP(C229, 'Control Panel'!$B$4:$B$8,'Control Panel'!$C$4:$C$8,"0")</f>
        <v>1.3</v>
      </c>
      <c r="E229">
        <f>_xlfn.XLOOKUP(B229, 'Control Panel'!$B$11:$B$17,'Control Panel'!$C$11:$C$17,"0")</f>
        <v>1.25</v>
      </c>
      <c r="G229" s="17" t="str">
        <f>_xlfn.XLOOKUP(F229, 'Control Panel'!$B$20:$B$26,'Control Panel'!$C$20:$C$26,"0")</f>
        <v>0</v>
      </c>
      <c r="H229" s="18">
        <v>0</v>
      </c>
      <c r="I229" s="18">
        <f t="shared" si="3"/>
        <v>1.625</v>
      </c>
      <c r="J229" s="18">
        <f>MAX(300,SUM('Control Panel'!$B$1*I229))</f>
        <v>487.5</v>
      </c>
    </row>
    <row r="230" spans="1:10" s="18" customFormat="1" x14ac:dyDescent="0.25">
      <c r="A230" s="15">
        <v>46243</v>
      </c>
      <c r="B230" s="16" t="s">
        <v>10</v>
      </c>
      <c r="C230" s="17" t="s">
        <v>16</v>
      </c>
      <c r="D230">
        <f>_xlfn.XLOOKUP(C230, 'Control Panel'!$B$4:$B$8,'Control Panel'!$C$4:$C$8,"0")</f>
        <v>1.3</v>
      </c>
      <c r="E230">
        <f>_xlfn.XLOOKUP(B230, 'Control Panel'!$B$11:$B$17,'Control Panel'!$C$11:$C$17,"0")</f>
        <v>1.05</v>
      </c>
      <c r="G230" s="17" t="str">
        <f>_xlfn.XLOOKUP(F230, 'Control Panel'!$B$20:$B$26,'Control Panel'!$C$20:$C$26,"0")</f>
        <v>0</v>
      </c>
      <c r="H230" s="18">
        <v>0</v>
      </c>
      <c r="I230" s="18">
        <f t="shared" si="3"/>
        <v>1.3650000000000002</v>
      </c>
      <c r="J230" s="18">
        <f>MAX(300,SUM('Control Panel'!$B$1*I230))</f>
        <v>409.50000000000006</v>
      </c>
    </row>
    <row r="231" spans="1:10" x14ac:dyDescent="0.25">
      <c r="A231" s="5">
        <v>46244</v>
      </c>
      <c r="B231" s="7" t="s">
        <v>11</v>
      </c>
      <c r="C231" s="9" t="s">
        <v>16</v>
      </c>
      <c r="D231">
        <f>_xlfn.XLOOKUP(C231, 'Control Panel'!$B$4:$B$8,'Control Panel'!$C$4:$C$8,"0")</f>
        <v>1.3</v>
      </c>
      <c r="E231">
        <f>_xlfn.XLOOKUP(B231, 'Control Panel'!$B$11:$B$17,'Control Panel'!$C$11:$C$17,"0")</f>
        <v>0.95</v>
      </c>
      <c r="G231" s="9" t="str">
        <f>_xlfn.XLOOKUP(F231, 'Control Panel'!$B$20:$B$26,'Control Panel'!$C$20:$C$26,"0")</f>
        <v>0</v>
      </c>
      <c r="H231">
        <v>0</v>
      </c>
      <c r="I231">
        <f t="shared" si="3"/>
        <v>1.2349999999999999</v>
      </c>
      <c r="J231">
        <f>MAX(300,SUM('Control Panel'!$B$1*I231))</f>
        <v>370.49999999999994</v>
      </c>
    </row>
    <row r="232" spans="1:10" x14ac:dyDescent="0.25">
      <c r="A232" s="5">
        <v>46245</v>
      </c>
      <c r="B232" s="7" t="s">
        <v>12</v>
      </c>
      <c r="C232" s="9" t="s">
        <v>16</v>
      </c>
      <c r="D232">
        <f>_xlfn.XLOOKUP(C232, 'Control Panel'!$B$4:$B$8,'Control Panel'!$C$4:$C$8,"0")</f>
        <v>1.3</v>
      </c>
      <c r="E232">
        <f>_xlfn.XLOOKUP(B232, 'Control Panel'!$B$11:$B$17,'Control Panel'!$C$11:$C$17,"0")</f>
        <v>0.95</v>
      </c>
      <c r="G232" s="9" t="str">
        <f>_xlfn.XLOOKUP(F232, 'Control Panel'!$B$20:$B$26,'Control Panel'!$C$20:$C$26,"0")</f>
        <v>0</v>
      </c>
      <c r="H232">
        <v>0</v>
      </c>
      <c r="I232">
        <f t="shared" si="3"/>
        <v>1.2349999999999999</v>
      </c>
      <c r="J232">
        <f>MAX(300,SUM('Control Panel'!$B$1*I232))</f>
        <v>370.49999999999994</v>
      </c>
    </row>
    <row r="233" spans="1:10" x14ac:dyDescent="0.25">
      <c r="A233" s="5">
        <v>46246</v>
      </c>
      <c r="B233" s="7" t="s">
        <v>13</v>
      </c>
      <c r="C233" s="9" t="s">
        <v>16</v>
      </c>
      <c r="D233">
        <f>_xlfn.XLOOKUP(C233, 'Control Panel'!$B$4:$B$8,'Control Panel'!$C$4:$C$8,"0")</f>
        <v>1.3</v>
      </c>
      <c r="E233">
        <f>_xlfn.XLOOKUP(B233, 'Control Panel'!$B$11:$B$17,'Control Panel'!$C$11:$C$17,"0")</f>
        <v>0.95</v>
      </c>
      <c r="G233" s="9" t="str">
        <f>_xlfn.XLOOKUP(F233, 'Control Panel'!$B$20:$B$26,'Control Panel'!$C$20:$C$26,"0")</f>
        <v>0</v>
      </c>
      <c r="H233">
        <v>0</v>
      </c>
      <c r="I233">
        <f t="shared" si="3"/>
        <v>1.2349999999999999</v>
      </c>
      <c r="J233">
        <f>MAX(300,SUM('Control Panel'!$B$1*I233))</f>
        <v>370.49999999999994</v>
      </c>
    </row>
    <row r="234" spans="1:10" x14ac:dyDescent="0.25">
      <c r="A234" s="5">
        <v>46247</v>
      </c>
      <c r="B234" s="7" t="s">
        <v>5</v>
      </c>
      <c r="C234" s="9" t="s">
        <v>16</v>
      </c>
      <c r="D234">
        <f>_xlfn.XLOOKUP(C234, 'Control Panel'!$B$4:$B$8,'Control Panel'!$C$4:$C$8,"0")</f>
        <v>1.3</v>
      </c>
      <c r="E234">
        <f>_xlfn.XLOOKUP(B234, 'Control Panel'!$B$11:$B$17,'Control Panel'!$C$11:$C$17,"0")</f>
        <v>0.95</v>
      </c>
      <c r="G234" s="9" t="str">
        <f>_xlfn.XLOOKUP(F234, 'Control Panel'!$B$20:$B$26,'Control Panel'!$C$20:$C$26,"0")</f>
        <v>0</v>
      </c>
      <c r="H234">
        <v>0</v>
      </c>
      <c r="I234">
        <f t="shared" si="3"/>
        <v>1.2349999999999999</v>
      </c>
      <c r="J234">
        <f>MAX(300,SUM('Control Panel'!$B$1*I234))</f>
        <v>370.49999999999994</v>
      </c>
    </row>
    <row r="235" spans="1:10" x14ac:dyDescent="0.25">
      <c r="A235" s="5">
        <v>46248</v>
      </c>
      <c r="B235" s="7" t="s">
        <v>8</v>
      </c>
      <c r="C235" s="9" t="s">
        <v>16</v>
      </c>
      <c r="D235">
        <f>_xlfn.XLOOKUP(C235, 'Control Panel'!$B$4:$B$8,'Control Panel'!$C$4:$C$8,"0")</f>
        <v>1.3</v>
      </c>
      <c r="E235">
        <f>_xlfn.XLOOKUP(B235, 'Control Panel'!$B$11:$B$17,'Control Panel'!$C$11:$C$17,"0")</f>
        <v>1.1000000000000001</v>
      </c>
      <c r="G235" s="9" t="str">
        <f>_xlfn.XLOOKUP(F235, 'Control Panel'!$B$20:$B$26,'Control Panel'!$C$20:$C$26,"0")</f>
        <v>0</v>
      </c>
      <c r="H235">
        <v>0</v>
      </c>
      <c r="I235">
        <f t="shared" si="3"/>
        <v>1.4300000000000002</v>
      </c>
      <c r="J235">
        <f>MAX(300,SUM('Control Panel'!$B$1*I235))</f>
        <v>429.00000000000006</v>
      </c>
    </row>
    <row r="236" spans="1:10" x14ac:dyDescent="0.25">
      <c r="A236" s="5">
        <v>46249</v>
      </c>
      <c r="B236" s="7" t="s">
        <v>9</v>
      </c>
      <c r="C236" s="9" t="s">
        <v>16</v>
      </c>
      <c r="D236">
        <f>_xlfn.XLOOKUP(C236, 'Control Panel'!$B$4:$B$8,'Control Panel'!$C$4:$C$8,"0")</f>
        <v>1.3</v>
      </c>
      <c r="E236">
        <f>_xlfn.XLOOKUP(B236, 'Control Panel'!$B$11:$B$17,'Control Panel'!$C$11:$C$17,"0")</f>
        <v>1.25</v>
      </c>
      <c r="G236" s="9" t="str">
        <f>_xlfn.XLOOKUP(F236, 'Control Panel'!$B$20:$B$26,'Control Panel'!$C$20:$C$26,"0")</f>
        <v>0</v>
      </c>
      <c r="H236">
        <v>0</v>
      </c>
      <c r="I236">
        <f t="shared" si="3"/>
        <v>1.625</v>
      </c>
      <c r="J236">
        <f>MAX(300,SUM('Control Panel'!$B$1*I236))</f>
        <v>487.5</v>
      </c>
    </row>
    <row r="237" spans="1:10" x14ac:dyDescent="0.25">
      <c r="A237" s="5">
        <v>46250</v>
      </c>
      <c r="B237" s="7" t="s">
        <v>10</v>
      </c>
      <c r="C237" s="9" t="s">
        <v>16</v>
      </c>
      <c r="D237">
        <f>_xlfn.XLOOKUP(C237, 'Control Panel'!$B$4:$B$8,'Control Panel'!$C$4:$C$8,"0")</f>
        <v>1.3</v>
      </c>
      <c r="E237">
        <f>_xlfn.XLOOKUP(B237, 'Control Panel'!$B$11:$B$17,'Control Panel'!$C$11:$C$17,"0")</f>
        <v>1.05</v>
      </c>
      <c r="G237" s="9" t="str">
        <f>_xlfn.XLOOKUP(F237, 'Control Panel'!$B$20:$B$26,'Control Panel'!$C$20:$C$26,"0")</f>
        <v>0</v>
      </c>
      <c r="H237">
        <v>0</v>
      </c>
      <c r="I237">
        <f t="shared" si="3"/>
        <v>1.3650000000000002</v>
      </c>
      <c r="J237">
        <f>MAX(300,SUM('Control Panel'!$B$1*I237))</f>
        <v>409.50000000000006</v>
      </c>
    </row>
    <row r="238" spans="1:10" s="18" customFormat="1" x14ac:dyDescent="0.25">
      <c r="A238" s="15">
        <v>46251</v>
      </c>
      <c r="B238" s="16" t="s">
        <v>11</v>
      </c>
      <c r="C238" s="17" t="s">
        <v>16</v>
      </c>
      <c r="D238">
        <f>_xlfn.XLOOKUP(C238, 'Control Panel'!$B$4:$B$8,'Control Panel'!$C$4:$C$8,"0")</f>
        <v>1.3</v>
      </c>
      <c r="E238">
        <f>_xlfn.XLOOKUP(B238, 'Control Panel'!$B$11:$B$17,'Control Panel'!$C$11:$C$17,"0")</f>
        <v>0.95</v>
      </c>
      <c r="G238" s="17" t="str">
        <f>_xlfn.XLOOKUP(F238, 'Control Panel'!$B$20:$B$26,'Control Panel'!$C$20:$C$26,"0")</f>
        <v>0</v>
      </c>
      <c r="H238" s="18">
        <v>0</v>
      </c>
      <c r="I238" s="18">
        <f t="shared" si="3"/>
        <v>1.2349999999999999</v>
      </c>
      <c r="J238" s="18">
        <f>MAX(300,SUM('Control Panel'!$B$1*I238))</f>
        <v>370.49999999999994</v>
      </c>
    </row>
    <row r="239" spans="1:10" s="18" customFormat="1" x14ac:dyDescent="0.25">
      <c r="A239" s="15">
        <v>46252</v>
      </c>
      <c r="B239" s="16" t="s">
        <v>12</v>
      </c>
      <c r="C239" s="17" t="s">
        <v>16</v>
      </c>
      <c r="D239">
        <f>_xlfn.XLOOKUP(C239, 'Control Panel'!$B$4:$B$8,'Control Panel'!$C$4:$C$8,"0")</f>
        <v>1.3</v>
      </c>
      <c r="E239">
        <f>_xlfn.XLOOKUP(B239, 'Control Panel'!$B$11:$B$17,'Control Panel'!$C$11:$C$17,"0")</f>
        <v>0.95</v>
      </c>
      <c r="G239" s="17" t="str">
        <f>_xlfn.XLOOKUP(F239, 'Control Panel'!$B$20:$B$26,'Control Panel'!$C$20:$C$26,"0")</f>
        <v>0</v>
      </c>
      <c r="H239" s="18">
        <v>0</v>
      </c>
      <c r="I239" s="18">
        <f t="shared" si="3"/>
        <v>1.2349999999999999</v>
      </c>
      <c r="J239" s="18">
        <f>MAX(300,SUM('Control Panel'!$B$1*I239))</f>
        <v>370.49999999999994</v>
      </c>
    </row>
    <row r="240" spans="1:10" s="18" customFormat="1" x14ac:dyDescent="0.25">
      <c r="A240" s="15">
        <v>46253</v>
      </c>
      <c r="B240" s="16" t="s">
        <v>13</v>
      </c>
      <c r="C240" s="17" t="s">
        <v>16</v>
      </c>
      <c r="D240">
        <f>_xlfn.XLOOKUP(C240, 'Control Panel'!$B$4:$B$8,'Control Panel'!$C$4:$C$8,"0")</f>
        <v>1.3</v>
      </c>
      <c r="E240">
        <f>_xlfn.XLOOKUP(B240, 'Control Panel'!$B$11:$B$17,'Control Panel'!$C$11:$C$17,"0")</f>
        <v>0.95</v>
      </c>
      <c r="G240" s="17" t="str">
        <f>_xlfn.XLOOKUP(F240, 'Control Panel'!$B$20:$B$26,'Control Panel'!$C$20:$C$26,"0")</f>
        <v>0</v>
      </c>
      <c r="H240" s="18">
        <v>0</v>
      </c>
      <c r="I240" s="18">
        <f t="shared" si="3"/>
        <v>1.2349999999999999</v>
      </c>
      <c r="J240" s="18">
        <f>MAX(300,SUM('Control Panel'!$B$1*I240))</f>
        <v>370.49999999999994</v>
      </c>
    </row>
    <row r="241" spans="1:10" s="18" customFormat="1" x14ac:dyDescent="0.25">
      <c r="A241" s="15">
        <v>46254</v>
      </c>
      <c r="B241" s="16" t="s">
        <v>5</v>
      </c>
      <c r="C241" s="17" t="s">
        <v>16</v>
      </c>
      <c r="D241">
        <f>_xlfn.XLOOKUP(C241, 'Control Panel'!$B$4:$B$8,'Control Panel'!$C$4:$C$8,"0")</f>
        <v>1.3</v>
      </c>
      <c r="E241">
        <f>_xlfn.XLOOKUP(B241, 'Control Panel'!$B$11:$B$17,'Control Panel'!$C$11:$C$17,"0")</f>
        <v>0.95</v>
      </c>
      <c r="G241" s="17" t="str">
        <f>_xlfn.XLOOKUP(F241, 'Control Panel'!$B$20:$B$26,'Control Panel'!$C$20:$C$26,"0")</f>
        <v>0</v>
      </c>
      <c r="H241" s="18">
        <v>0</v>
      </c>
      <c r="I241" s="18">
        <f t="shared" si="3"/>
        <v>1.2349999999999999</v>
      </c>
      <c r="J241" s="18">
        <f>MAX(300,SUM('Control Panel'!$B$1*I241))</f>
        <v>370.49999999999994</v>
      </c>
    </row>
    <row r="242" spans="1:10" s="18" customFormat="1" x14ac:dyDescent="0.25">
      <c r="A242" s="15">
        <v>46255</v>
      </c>
      <c r="B242" s="16" t="s">
        <v>8</v>
      </c>
      <c r="C242" s="17" t="s">
        <v>16</v>
      </c>
      <c r="D242">
        <f>_xlfn.XLOOKUP(C242, 'Control Panel'!$B$4:$B$8,'Control Panel'!$C$4:$C$8,"0")</f>
        <v>1.3</v>
      </c>
      <c r="E242">
        <f>_xlfn.XLOOKUP(B242, 'Control Panel'!$B$11:$B$17,'Control Panel'!$C$11:$C$17,"0")</f>
        <v>1.1000000000000001</v>
      </c>
      <c r="G242" s="17" t="str">
        <f>_xlfn.XLOOKUP(F242, 'Control Panel'!$B$20:$B$26,'Control Panel'!$C$20:$C$26,"0")</f>
        <v>0</v>
      </c>
      <c r="H242" s="18">
        <v>0</v>
      </c>
      <c r="I242" s="18">
        <f t="shared" si="3"/>
        <v>1.4300000000000002</v>
      </c>
      <c r="J242" s="18">
        <f>MAX(300,SUM('Control Panel'!$B$1*I242))</f>
        <v>429.00000000000006</v>
      </c>
    </row>
    <row r="243" spans="1:10" s="18" customFormat="1" x14ac:dyDescent="0.25">
      <c r="A243" s="15">
        <v>46256</v>
      </c>
      <c r="B243" s="16" t="s">
        <v>9</v>
      </c>
      <c r="C243" s="17" t="s">
        <v>16</v>
      </c>
      <c r="D243">
        <f>_xlfn.XLOOKUP(C243, 'Control Panel'!$B$4:$B$8,'Control Panel'!$C$4:$C$8,"0")</f>
        <v>1.3</v>
      </c>
      <c r="E243">
        <f>_xlfn.XLOOKUP(B243, 'Control Panel'!$B$11:$B$17,'Control Panel'!$C$11:$C$17,"0")</f>
        <v>1.25</v>
      </c>
      <c r="G243" s="17" t="str">
        <f>_xlfn.XLOOKUP(F243, 'Control Panel'!$B$20:$B$26,'Control Panel'!$C$20:$C$26,"0")</f>
        <v>0</v>
      </c>
      <c r="H243" s="18">
        <v>0</v>
      </c>
      <c r="I243" s="18">
        <f t="shared" si="3"/>
        <v>1.625</v>
      </c>
      <c r="J243" s="18">
        <f>MAX(300,SUM('Control Panel'!$B$1*I243))</f>
        <v>487.5</v>
      </c>
    </row>
    <row r="244" spans="1:10" s="18" customFormat="1" x14ac:dyDescent="0.25">
      <c r="A244" s="15">
        <v>46257</v>
      </c>
      <c r="B244" s="16" t="s">
        <v>10</v>
      </c>
      <c r="C244" s="17" t="s">
        <v>16</v>
      </c>
      <c r="D244">
        <f>_xlfn.XLOOKUP(C244, 'Control Panel'!$B$4:$B$8,'Control Panel'!$C$4:$C$8,"0")</f>
        <v>1.3</v>
      </c>
      <c r="E244">
        <f>_xlfn.XLOOKUP(B244, 'Control Panel'!$B$11:$B$17,'Control Panel'!$C$11:$C$17,"0")</f>
        <v>1.05</v>
      </c>
      <c r="G244" s="17" t="str">
        <f>_xlfn.XLOOKUP(F244, 'Control Panel'!$B$20:$B$26,'Control Panel'!$C$20:$C$26,"0")</f>
        <v>0</v>
      </c>
      <c r="H244" s="18">
        <v>0</v>
      </c>
      <c r="I244" s="18">
        <f t="shared" si="3"/>
        <v>1.3650000000000002</v>
      </c>
      <c r="J244" s="18">
        <f>MAX(300,SUM('Control Panel'!$B$1*I244))</f>
        <v>409.50000000000006</v>
      </c>
    </row>
    <row r="245" spans="1:10" x14ac:dyDescent="0.25">
      <c r="A245" s="5">
        <v>46258</v>
      </c>
      <c r="B245" s="7" t="s">
        <v>11</v>
      </c>
      <c r="C245" s="9" t="s">
        <v>16</v>
      </c>
      <c r="D245">
        <f>_xlfn.XLOOKUP(C245, 'Control Panel'!$B$4:$B$8,'Control Panel'!$C$4:$C$8,"0")</f>
        <v>1.3</v>
      </c>
      <c r="E245">
        <f>_xlfn.XLOOKUP(B245, 'Control Panel'!$B$11:$B$17,'Control Panel'!$C$11:$C$17,"0")</f>
        <v>0.95</v>
      </c>
      <c r="G245" s="9" t="str">
        <f>_xlfn.XLOOKUP(F245, 'Control Panel'!$B$20:$B$26,'Control Panel'!$C$20:$C$26,"0")</f>
        <v>0</v>
      </c>
      <c r="H245">
        <v>0</v>
      </c>
      <c r="I245">
        <f t="shared" si="3"/>
        <v>1.2349999999999999</v>
      </c>
      <c r="J245">
        <f>MAX(300,SUM('Control Panel'!$B$1*I245))</f>
        <v>370.49999999999994</v>
      </c>
    </row>
    <row r="246" spans="1:10" x14ac:dyDescent="0.25">
      <c r="A246" s="5">
        <v>46259</v>
      </c>
      <c r="B246" s="7" t="s">
        <v>12</v>
      </c>
      <c r="C246" s="9" t="s">
        <v>16</v>
      </c>
      <c r="D246">
        <f>_xlfn.XLOOKUP(C246, 'Control Panel'!$B$4:$B$8,'Control Panel'!$C$4:$C$8,"0")</f>
        <v>1.3</v>
      </c>
      <c r="E246">
        <f>_xlfn.XLOOKUP(B246, 'Control Panel'!$B$11:$B$17,'Control Panel'!$C$11:$C$17,"0")</f>
        <v>0.95</v>
      </c>
      <c r="G246" s="9" t="str">
        <f>_xlfn.XLOOKUP(F246, 'Control Panel'!$B$20:$B$26,'Control Panel'!$C$20:$C$26,"0")</f>
        <v>0</v>
      </c>
      <c r="H246">
        <v>0</v>
      </c>
      <c r="I246">
        <f t="shared" si="3"/>
        <v>1.2349999999999999</v>
      </c>
      <c r="J246">
        <f>MAX(300,SUM('Control Panel'!$B$1*I246))</f>
        <v>370.49999999999994</v>
      </c>
    </row>
    <row r="247" spans="1:10" x14ac:dyDescent="0.25">
      <c r="A247" s="5">
        <v>46260</v>
      </c>
      <c r="B247" s="7" t="s">
        <v>13</v>
      </c>
      <c r="C247" s="9" t="s">
        <v>16</v>
      </c>
      <c r="D247">
        <f>_xlfn.XLOOKUP(C247, 'Control Panel'!$B$4:$B$8,'Control Panel'!$C$4:$C$8,"0")</f>
        <v>1.3</v>
      </c>
      <c r="E247">
        <f>_xlfn.XLOOKUP(B247, 'Control Panel'!$B$11:$B$17,'Control Panel'!$C$11:$C$17,"0")</f>
        <v>0.95</v>
      </c>
      <c r="G247" s="9" t="str">
        <f>_xlfn.XLOOKUP(F247, 'Control Panel'!$B$20:$B$26,'Control Panel'!$C$20:$C$26,"0")</f>
        <v>0</v>
      </c>
      <c r="H247">
        <v>0</v>
      </c>
      <c r="I247">
        <f t="shared" si="3"/>
        <v>1.2349999999999999</v>
      </c>
      <c r="J247">
        <f>MAX(300,SUM('Control Panel'!$B$1*I247))</f>
        <v>370.49999999999994</v>
      </c>
    </row>
    <row r="248" spans="1:10" x14ac:dyDescent="0.25">
      <c r="A248" s="5">
        <v>46261</v>
      </c>
      <c r="B248" s="7" t="s">
        <v>5</v>
      </c>
      <c r="C248" s="9" t="s">
        <v>16</v>
      </c>
      <c r="D248">
        <f>_xlfn.XLOOKUP(C248, 'Control Panel'!$B$4:$B$8,'Control Panel'!$C$4:$C$8,"0")</f>
        <v>1.3</v>
      </c>
      <c r="E248">
        <f>_xlfn.XLOOKUP(B248, 'Control Panel'!$B$11:$B$17,'Control Panel'!$C$11:$C$17,"0")</f>
        <v>0.95</v>
      </c>
      <c r="G248" s="9" t="str">
        <f>_xlfn.XLOOKUP(F248, 'Control Panel'!$B$20:$B$26,'Control Panel'!$C$20:$C$26,"0")</f>
        <v>0</v>
      </c>
      <c r="H248">
        <v>0</v>
      </c>
      <c r="I248">
        <f t="shared" si="3"/>
        <v>1.2349999999999999</v>
      </c>
      <c r="J248">
        <f>MAX(300,SUM('Control Panel'!$B$1*I248))</f>
        <v>370.49999999999994</v>
      </c>
    </row>
    <row r="249" spans="1:10" x14ac:dyDescent="0.25">
      <c r="A249" s="5">
        <v>46262</v>
      </c>
      <c r="B249" s="7" t="s">
        <v>8</v>
      </c>
      <c r="C249" s="9" t="s">
        <v>16</v>
      </c>
      <c r="D249">
        <f>_xlfn.XLOOKUP(C249, 'Control Panel'!$B$4:$B$8,'Control Panel'!$C$4:$C$8,"0")</f>
        <v>1.3</v>
      </c>
      <c r="E249">
        <f>_xlfn.XLOOKUP(B249, 'Control Panel'!$B$11:$B$17,'Control Panel'!$C$11:$C$17,"0")</f>
        <v>1.1000000000000001</v>
      </c>
      <c r="G249" s="9" t="str">
        <f>_xlfn.XLOOKUP(F249, 'Control Panel'!$B$20:$B$26,'Control Panel'!$C$20:$C$26,"0")</f>
        <v>0</v>
      </c>
      <c r="H249">
        <v>0</v>
      </c>
      <c r="I249">
        <f t="shared" si="3"/>
        <v>1.4300000000000002</v>
      </c>
      <c r="J249">
        <f>MAX(300,SUM('Control Panel'!$B$1*I249))</f>
        <v>429.00000000000006</v>
      </c>
    </row>
    <row r="250" spans="1:10" x14ac:dyDescent="0.25">
      <c r="A250" s="5">
        <v>46263</v>
      </c>
      <c r="B250" s="7" t="s">
        <v>9</v>
      </c>
      <c r="C250" s="9" t="s">
        <v>16</v>
      </c>
      <c r="D250">
        <f>_xlfn.XLOOKUP(C250, 'Control Panel'!$B$4:$B$8,'Control Panel'!$C$4:$C$8,"0")</f>
        <v>1.3</v>
      </c>
      <c r="E250">
        <f>_xlfn.XLOOKUP(B250, 'Control Panel'!$B$11:$B$17,'Control Panel'!$C$11:$C$17,"0")</f>
        <v>1.25</v>
      </c>
      <c r="G250" s="9" t="str">
        <f>_xlfn.XLOOKUP(F250, 'Control Panel'!$B$20:$B$26,'Control Panel'!$C$20:$C$26,"0")</f>
        <v>0</v>
      </c>
      <c r="H250">
        <v>0</v>
      </c>
      <c r="I250">
        <f t="shared" si="3"/>
        <v>1.625</v>
      </c>
      <c r="J250">
        <f>MAX(300,SUM('Control Panel'!$B$1*I250))</f>
        <v>487.5</v>
      </c>
    </row>
    <row r="251" spans="1:10" x14ac:dyDescent="0.25">
      <c r="A251" s="5">
        <v>46264</v>
      </c>
      <c r="B251" s="7" t="s">
        <v>10</v>
      </c>
      <c r="C251" s="9" t="s">
        <v>16</v>
      </c>
      <c r="D251">
        <f>_xlfn.XLOOKUP(C251, 'Control Panel'!$B$4:$B$8,'Control Panel'!$C$4:$C$8,"0")</f>
        <v>1.3</v>
      </c>
      <c r="E251">
        <f>_xlfn.XLOOKUP(B251, 'Control Panel'!$B$11:$B$17,'Control Panel'!$C$11:$C$17,"0")</f>
        <v>1.05</v>
      </c>
      <c r="G251" s="9" t="str">
        <f>_xlfn.XLOOKUP(F251, 'Control Panel'!$B$20:$B$26,'Control Panel'!$C$20:$C$26,"0")</f>
        <v>0</v>
      </c>
      <c r="H251">
        <v>0</v>
      </c>
      <c r="I251">
        <f t="shared" si="3"/>
        <v>1.3650000000000002</v>
      </c>
      <c r="J251">
        <f>MAX(300,SUM('Control Panel'!$B$1*I251))</f>
        <v>409.50000000000006</v>
      </c>
    </row>
    <row r="252" spans="1:10" s="18" customFormat="1" x14ac:dyDescent="0.25">
      <c r="A252" s="15">
        <v>46265</v>
      </c>
      <c r="B252" s="16" t="s">
        <v>11</v>
      </c>
      <c r="C252" s="17" t="s">
        <v>16</v>
      </c>
      <c r="D252">
        <f>_xlfn.XLOOKUP(C252, 'Control Panel'!$B$4:$B$8,'Control Panel'!$C$4:$C$8,"0")</f>
        <v>1.3</v>
      </c>
      <c r="E252">
        <f>_xlfn.XLOOKUP(B252, 'Control Panel'!$B$11:$B$17,'Control Panel'!$C$11:$C$17,"0")</f>
        <v>0.95</v>
      </c>
      <c r="G252" s="17" t="str">
        <f>_xlfn.XLOOKUP(F252, 'Control Panel'!$B$20:$B$26,'Control Panel'!$C$20:$C$26,"0")</f>
        <v>0</v>
      </c>
      <c r="H252" s="18">
        <v>0</v>
      </c>
      <c r="I252" s="18">
        <f t="shared" si="3"/>
        <v>1.2349999999999999</v>
      </c>
      <c r="J252" s="18">
        <f>MAX(300,SUM('Control Panel'!$B$1*I252))</f>
        <v>370.49999999999994</v>
      </c>
    </row>
    <row r="253" spans="1:10" s="18" customFormat="1" x14ac:dyDescent="0.25">
      <c r="A253" s="10" t="s">
        <v>40</v>
      </c>
      <c r="B253" s="13"/>
      <c r="C253" s="14"/>
      <c r="D253"/>
      <c r="E253"/>
      <c r="G253" s="17" t="str">
        <f>_xlfn.XLOOKUP(F253, 'Control Panel'!$B$20:$B$26,'Control Panel'!$C$20:$C$26,"0")</f>
        <v>0</v>
      </c>
    </row>
    <row r="254" spans="1:10" s="18" customFormat="1" x14ac:dyDescent="0.25">
      <c r="A254" s="15">
        <v>46266</v>
      </c>
      <c r="B254" s="16" t="s">
        <v>12</v>
      </c>
      <c r="C254" s="17" t="s">
        <v>20</v>
      </c>
      <c r="D254">
        <f>_xlfn.XLOOKUP(C254, 'Control Panel'!$B$4:$B$8,'Control Panel'!$C$4:$C$8,"0")</f>
        <v>1.1499999999999999</v>
      </c>
      <c r="E254">
        <f>_xlfn.XLOOKUP(B254, 'Control Panel'!$B$11:$B$17,'Control Panel'!$C$11:$C$17,"0")</f>
        <v>0.95</v>
      </c>
      <c r="G254" s="17" t="str">
        <f>_xlfn.XLOOKUP(F254, 'Control Panel'!$B$20:$B$26,'Control Panel'!$C$20:$C$26,"0")</f>
        <v>0</v>
      </c>
      <c r="H254" s="18">
        <v>0</v>
      </c>
      <c r="I254" s="18">
        <f t="shared" si="3"/>
        <v>1.0924999999999998</v>
      </c>
      <c r="J254" s="18">
        <f>MAX(300,SUM('Control Panel'!$B$1*I254))</f>
        <v>327.74999999999994</v>
      </c>
    </row>
    <row r="255" spans="1:10" s="18" customFormat="1" x14ac:dyDescent="0.25">
      <c r="A255" s="15">
        <v>46267</v>
      </c>
      <c r="B255" s="16" t="s">
        <v>13</v>
      </c>
      <c r="C255" s="17" t="s">
        <v>20</v>
      </c>
      <c r="D255">
        <f>_xlfn.XLOOKUP(C255, 'Control Panel'!$B$4:$B$8,'Control Panel'!$C$4:$C$8,"0")</f>
        <v>1.1499999999999999</v>
      </c>
      <c r="E255">
        <f>_xlfn.XLOOKUP(B255, 'Control Panel'!$B$11:$B$17,'Control Panel'!$C$11:$C$17,"0")</f>
        <v>0.95</v>
      </c>
      <c r="G255" s="17" t="str">
        <f>_xlfn.XLOOKUP(F255, 'Control Panel'!$B$20:$B$26,'Control Panel'!$C$20:$C$26,"0")</f>
        <v>0</v>
      </c>
      <c r="H255" s="18">
        <v>0</v>
      </c>
      <c r="I255" s="18">
        <f t="shared" si="3"/>
        <v>1.0924999999999998</v>
      </c>
      <c r="J255" s="18">
        <f>MAX(300,SUM('Control Panel'!$B$1*I255))</f>
        <v>327.74999999999994</v>
      </c>
    </row>
    <row r="256" spans="1:10" s="18" customFormat="1" x14ac:dyDescent="0.25">
      <c r="A256" s="15">
        <v>46268</v>
      </c>
      <c r="B256" s="16" t="s">
        <v>5</v>
      </c>
      <c r="C256" s="17" t="s">
        <v>20</v>
      </c>
      <c r="D256">
        <f>_xlfn.XLOOKUP(C256, 'Control Panel'!$B$4:$B$8,'Control Panel'!$C$4:$C$8,"0")</f>
        <v>1.1499999999999999</v>
      </c>
      <c r="E256">
        <f>_xlfn.XLOOKUP(B256, 'Control Panel'!$B$11:$B$17,'Control Panel'!$C$11:$C$17,"0")</f>
        <v>0.95</v>
      </c>
      <c r="G256" s="17" t="str">
        <f>_xlfn.XLOOKUP(F256, 'Control Panel'!$B$20:$B$26,'Control Panel'!$C$20:$C$26,"0")</f>
        <v>0</v>
      </c>
      <c r="H256" s="18">
        <v>0</v>
      </c>
      <c r="I256" s="18">
        <f t="shared" si="3"/>
        <v>1.0924999999999998</v>
      </c>
      <c r="J256" s="18">
        <f>MAX(300,SUM('Control Panel'!$B$1*I256))</f>
        <v>327.74999999999994</v>
      </c>
    </row>
    <row r="257" spans="1:10" s="18" customFormat="1" x14ac:dyDescent="0.25">
      <c r="A257" s="15">
        <v>46269</v>
      </c>
      <c r="B257" s="16" t="s">
        <v>8</v>
      </c>
      <c r="C257" s="17" t="s">
        <v>20</v>
      </c>
      <c r="D257">
        <f>_xlfn.XLOOKUP(C257, 'Control Panel'!$B$4:$B$8,'Control Panel'!$C$4:$C$8,"0")</f>
        <v>1.1499999999999999</v>
      </c>
      <c r="E257">
        <f>_xlfn.XLOOKUP(B257, 'Control Panel'!$B$11:$B$17,'Control Panel'!$C$11:$C$17,"0")</f>
        <v>1.1000000000000001</v>
      </c>
      <c r="G257" s="17" t="str">
        <f>_xlfn.XLOOKUP(F257, 'Control Panel'!$B$20:$B$26,'Control Panel'!$C$20:$C$26,"0")</f>
        <v>0</v>
      </c>
      <c r="H257" s="18">
        <v>0</v>
      </c>
      <c r="I257" s="18">
        <f t="shared" si="3"/>
        <v>1.2649999999999999</v>
      </c>
      <c r="J257" s="18">
        <f>MAX(300,SUM('Control Panel'!$B$1*I257))</f>
        <v>379.49999999999994</v>
      </c>
    </row>
    <row r="258" spans="1:10" s="18" customFormat="1" x14ac:dyDescent="0.25">
      <c r="A258" s="15">
        <v>46270</v>
      </c>
      <c r="B258" s="16" t="s">
        <v>9</v>
      </c>
      <c r="C258" s="17" t="s">
        <v>20</v>
      </c>
      <c r="D258">
        <f>_xlfn.XLOOKUP(C258, 'Control Panel'!$B$4:$B$8,'Control Panel'!$C$4:$C$8,"0")</f>
        <v>1.1499999999999999</v>
      </c>
      <c r="E258">
        <f>_xlfn.XLOOKUP(B258, 'Control Panel'!$B$11:$B$17,'Control Panel'!$C$11:$C$17,"0")</f>
        <v>1.25</v>
      </c>
      <c r="G258" s="17" t="str">
        <f>_xlfn.XLOOKUP(F258, 'Control Panel'!$B$20:$B$26,'Control Panel'!$C$20:$C$26,"0")</f>
        <v>0</v>
      </c>
      <c r="H258" s="18">
        <v>0</v>
      </c>
      <c r="I258" s="18">
        <f t="shared" si="3"/>
        <v>1.4375</v>
      </c>
      <c r="J258" s="18">
        <f>MAX(300,SUM('Control Panel'!$B$1*I258))</f>
        <v>431.25</v>
      </c>
    </row>
    <row r="259" spans="1:10" s="18" customFormat="1" x14ac:dyDescent="0.25">
      <c r="A259" s="15">
        <v>46271</v>
      </c>
      <c r="B259" s="16" t="s">
        <v>10</v>
      </c>
      <c r="C259" s="17" t="s">
        <v>20</v>
      </c>
      <c r="D259">
        <f>_xlfn.XLOOKUP(C259, 'Control Panel'!$B$4:$B$8,'Control Panel'!$C$4:$C$8,"0")</f>
        <v>1.1499999999999999</v>
      </c>
      <c r="E259">
        <f>_xlfn.XLOOKUP(B259, 'Control Panel'!$B$11:$B$17,'Control Panel'!$C$11:$C$17,"0")</f>
        <v>1.05</v>
      </c>
      <c r="G259" s="17" t="str">
        <f>_xlfn.XLOOKUP(F259, 'Control Panel'!$B$20:$B$26,'Control Panel'!$C$20:$C$26,"0")</f>
        <v>0</v>
      </c>
      <c r="H259" s="18">
        <v>0</v>
      </c>
      <c r="I259" s="18">
        <f t="shared" si="3"/>
        <v>1.2075</v>
      </c>
      <c r="J259" s="18">
        <f>MAX(300,SUM('Control Panel'!$B$1*I259))</f>
        <v>362.25</v>
      </c>
    </row>
    <row r="260" spans="1:10" x14ac:dyDescent="0.25">
      <c r="A260" s="5">
        <v>46272</v>
      </c>
      <c r="B260" s="7" t="s">
        <v>11</v>
      </c>
      <c r="C260" s="9" t="s">
        <v>20</v>
      </c>
      <c r="D260">
        <f>_xlfn.XLOOKUP(C260, 'Control Panel'!$B$4:$B$8,'Control Panel'!$C$4:$C$8,"0")</f>
        <v>1.1499999999999999</v>
      </c>
      <c r="E260">
        <f>_xlfn.XLOOKUP(B260, 'Control Panel'!$B$11:$B$17,'Control Panel'!$C$11:$C$17,"0")</f>
        <v>0.95</v>
      </c>
      <c r="F260" t="s">
        <v>21</v>
      </c>
      <c r="G260" s="9">
        <f>_xlfn.XLOOKUP(F260, 'Control Panel'!$B$20:$B$26,'Control Panel'!$C$20:$C$26,"0")</f>
        <v>0.25</v>
      </c>
      <c r="H260">
        <v>0</v>
      </c>
      <c r="I260">
        <f t="shared" si="3"/>
        <v>1.3424999999999998</v>
      </c>
      <c r="J260">
        <f>MAX(300,SUM('Control Panel'!$B$1*I260))</f>
        <v>402.74999999999994</v>
      </c>
    </row>
    <row r="261" spans="1:10" x14ac:dyDescent="0.25">
      <c r="A261" s="5">
        <v>46273</v>
      </c>
      <c r="B261" s="7" t="s">
        <v>12</v>
      </c>
      <c r="C261" s="9" t="s">
        <v>20</v>
      </c>
      <c r="D261">
        <f>_xlfn.XLOOKUP(C261, 'Control Panel'!$B$4:$B$8,'Control Panel'!$C$4:$C$8,"0")</f>
        <v>1.1499999999999999</v>
      </c>
      <c r="E261">
        <f>_xlfn.XLOOKUP(B261, 'Control Panel'!$B$11:$B$17,'Control Panel'!$C$11:$C$17,"0")</f>
        <v>0.95</v>
      </c>
      <c r="G261" s="9" t="str">
        <f>_xlfn.XLOOKUP(F261, 'Control Panel'!$B$20:$B$26,'Control Panel'!$C$20:$C$26,"0")</f>
        <v>0</v>
      </c>
      <c r="H261">
        <v>0</v>
      </c>
      <c r="I261">
        <f t="shared" si="3"/>
        <v>1.0924999999999998</v>
      </c>
      <c r="J261">
        <f>MAX(300,SUM('Control Panel'!$B$1*I261))</f>
        <v>327.74999999999994</v>
      </c>
    </row>
    <row r="262" spans="1:10" x14ac:dyDescent="0.25">
      <c r="A262" s="5">
        <v>46274</v>
      </c>
      <c r="B262" s="7" t="s">
        <v>13</v>
      </c>
      <c r="C262" s="9" t="s">
        <v>20</v>
      </c>
      <c r="D262">
        <f>_xlfn.XLOOKUP(C262, 'Control Panel'!$B$4:$B$8,'Control Panel'!$C$4:$C$8,"0")</f>
        <v>1.1499999999999999</v>
      </c>
      <c r="E262">
        <f>_xlfn.XLOOKUP(B262, 'Control Panel'!$B$11:$B$17,'Control Panel'!$C$11:$C$17,"0")</f>
        <v>0.95</v>
      </c>
      <c r="G262" s="9" t="str">
        <f>_xlfn.XLOOKUP(F262, 'Control Panel'!$B$20:$B$26,'Control Panel'!$C$20:$C$26,"0")</f>
        <v>0</v>
      </c>
      <c r="H262">
        <v>0</v>
      </c>
      <c r="I262">
        <f t="shared" si="3"/>
        <v>1.0924999999999998</v>
      </c>
      <c r="J262">
        <f>MAX(300,SUM('Control Panel'!$B$1*I262))</f>
        <v>327.74999999999994</v>
      </c>
    </row>
    <row r="263" spans="1:10" x14ac:dyDescent="0.25">
      <c r="A263" s="5">
        <v>46275</v>
      </c>
      <c r="B263" s="7" t="s">
        <v>5</v>
      </c>
      <c r="C263" s="9" t="s">
        <v>20</v>
      </c>
      <c r="D263">
        <f>_xlfn.XLOOKUP(C263, 'Control Panel'!$B$4:$B$8,'Control Panel'!$C$4:$C$8,"0")</f>
        <v>1.1499999999999999</v>
      </c>
      <c r="E263">
        <f>_xlfn.XLOOKUP(B263, 'Control Panel'!$B$11:$B$17,'Control Panel'!$C$11:$C$17,"0")</f>
        <v>0.95</v>
      </c>
      <c r="G263" s="9" t="str">
        <f>_xlfn.XLOOKUP(F263, 'Control Panel'!$B$20:$B$26,'Control Panel'!$C$20:$C$26,"0")</f>
        <v>0</v>
      </c>
      <c r="H263">
        <v>0</v>
      </c>
      <c r="I263">
        <f t="shared" si="3"/>
        <v>1.0924999999999998</v>
      </c>
      <c r="J263">
        <f>MAX(300,SUM('Control Panel'!$B$1*I263))</f>
        <v>327.74999999999994</v>
      </c>
    </row>
    <row r="264" spans="1:10" x14ac:dyDescent="0.25">
      <c r="A264" s="5">
        <v>46276</v>
      </c>
      <c r="B264" s="7" t="s">
        <v>8</v>
      </c>
      <c r="C264" s="9" t="s">
        <v>20</v>
      </c>
      <c r="D264">
        <f>_xlfn.XLOOKUP(C264, 'Control Panel'!$B$4:$B$8,'Control Panel'!$C$4:$C$8,"0")</f>
        <v>1.1499999999999999</v>
      </c>
      <c r="E264">
        <f>_xlfn.XLOOKUP(B264, 'Control Panel'!$B$11:$B$17,'Control Panel'!$C$11:$C$17,"0")</f>
        <v>1.1000000000000001</v>
      </c>
      <c r="G264" s="9" t="str">
        <f>_xlfn.XLOOKUP(F264, 'Control Panel'!$B$20:$B$26,'Control Panel'!$C$20:$C$26,"0")</f>
        <v>0</v>
      </c>
      <c r="H264">
        <v>0</v>
      </c>
      <c r="I264">
        <f t="shared" si="3"/>
        <v>1.2649999999999999</v>
      </c>
      <c r="J264">
        <f>MAX(300,SUM('Control Panel'!$B$1*I264))</f>
        <v>379.49999999999994</v>
      </c>
    </row>
    <row r="265" spans="1:10" x14ac:dyDescent="0.25">
      <c r="A265" s="5">
        <v>46277</v>
      </c>
      <c r="B265" s="7" t="s">
        <v>9</v>
      </c>
      <c r="C265" s="9" t="s">
        <v>20</v>
      </c>
      <c r="D265">
        <f>_xlfn.XLOOKUP(C265, 'Control Panel'!$B$4:$B$8,'Control Panel'!$C$4:$C$8,"0")</f>
        <v>1.1499999999999999</v>
      </c>
      <c r="E265">
        <f>_xlfn.XLOOKUP(B265, 'Control Panel'!$B$11:$B$17,'Control Panel'!$C$11:$C$17,"0")</f>
        <v>1.25</v>
      </c>
      <c r="G265" s="9" t="str">
        <f>_xlfn.XLOOKUP(F265, 'Control Panel'!$B$20:$B$26,'Control Panel'!$C$20:$C$26,"0")</f>
        <v>0</v>
      </c>
      <c r="H265">
        <v>0</v>
      </c>
      <c r="I265">
        <f t="shared" si="3"/>
        <v>1.4375</v>
      </c>
      <c r="J265">
        <f>MAX(300,SUM('Control Panel'!$B$1*I265))</f>
        <v>431.25</v>
      </c>
    </row>
    <row r="266" spans="1:10" x14ac:dyDescent="0.25">
      <c r="A266" s="5">
        <v>46278</v>
      </c>
      <c r="B266" s="7" t="s">
        <v>10</v>
      </c>
      <c r="C266" s="9" t="s">
        <v>20</v>
      </c>
      <c r="D266">
        <f>_xlfn.XLOOKUP(C266, 'Control Panel'!$B$4:$B$8,'Control Panel'!$C$4:$C$8,"0")</f>
        <v>1.1499999999999999</v>
      </c>
      <c r="E266">
        <f>_xlfn.XLOOKUP(B266, 'Control Panel'!$B$11:$B$17,'Control Panel'!$C$11:$C$17,"0")</f>
        <v>1.05</v>
      </c>
      <c r="G266" s="9" t="str">
        <f>_xlfn.XLOOKUP(F266, 'Control Panel'!$B$20:$B$26,'Control Panel'!$C$20:$C$26,"0")</f>
        <v>0</v>
      </c>
      <c r="H266">
        <v>0</v>
      </c>
      <c r="I266">
        <f t="shared" si="3"/>
        <v>1.2075</v>
      </c>
      <c r="J266">
        <f>MAX(300,SUM('Control Panel'!$B$1*I266))</f>
        <v>362.25</v>
      </c>
    </row>
    <row r="267" spans="1:10" s="18" customFormat="1" x14ac:dyDescent="0.25">
      <c r="A267" s="15">
        <v>46279</v>
      </c>
      <c r="B267" s="16" t="s">
        <v>11</v>
      </c>
      <c r="C267" s="17" t="s">
        <v>20</v>
      </c>
      <c r="D267">
        <f>_xlfn.XLOOKUP(C267, 'Control Panel'!$B$4:$B$8,'Control Panel'!$C$4:$C$8,"0")</f>
        <v>1.1499999999999999</v>
      </c>
      <c r="E267">
        <f>_xlfn.XLOOKUP(B267, 'Control Panel'!$B$11:$B$17,'Control Panel'!$C$11:$C$17,"0")</f>
        <v>0.95</v>
      </c>
      <c r="G267" s="17" t="str">
        <f>_xlfn.XLOOKUP(F267, 'Control Panel'!$B$20:$B$26,'Control Panel'!$C$20:$C$26,"0")</f>
        <v>0</v>
      </c>
      <c r="H267" s="18">
        <v>0</v>
      </c>
      <c r="I267" s="18">
        <f t="shared" si="3"/>
        <v>1.0924999999999998</v>
      </c>
      <c r="J267" s="18">
        <f>MAX(300,SUM('Control Panel'!$B$1*I267))</f>
        <v>327.74999999999994</v>
      </c>
    </row>
    <row r="268" spans="1:10" s="18" customFormat="1" x14ac:dyDescent="0.25">
      <c r="A268" s="15">
        <v>46280</v>
      </c>
      <c r="B268" s="16" t="s">
        <v>12</v>
      </c>
      <c r="C268" s="17" t="s">
        <v>20</v>
      </c>
      <c r="D268">
        <f>_xlfn.XLOOKUP(C268, 'Control Panel'!$B$4:$B$8,'Control Panel'!$C$4:$C$8,"0")</f>
        <v>1.1499999999999999</v>
      </c>
      <c r="E268">
        <f>_xlfn.XLOOKUP(B268, 'Control Panel'!$B$11:$B$17,'Control Panel'!$C$11:$C$17,"0")</f>
        <v>0.95</v>
      </c>
      <c r="G268" s="17" t="str">
        <f>_xlfn.XLOOKUP(F268, 'Control Panel'!$B$20:$B$26,'Control Panel'!$C$20:$C$26,"0")</f>
        <v>0</v>
      </c>
      <c r="H268" s="18">
        <v>0</v>
      </c>
      <c r="I268" s="18">
        <f t="shared" si="3"/>
        <v>1.0924999999999998</v>
      </c>
      <c r="J268" s="18">
        <f>MAX(300,SUM('Control Panel'!$B$1*I268))</f>
        <v>327.74999999999994</v>
      </c>
    </row>
    <row r="269" spans="1:10" s="18" customFormat="1" x14ac:dyDescent="0.25">
      <c r="A269" s="15">
        <v>46281</v>
      </c>
      <c r="B269" s="16" t="s">
        <v>13</v>
      </c>
      <c r="C269" s="17" t="s">
        <v>20</v>
      </c>
      <c r="D269">
        <f>_xlfn.XLOOKUP(C269, 'Control Panel'!$B$4:$B$8,'Control Panel'!$C$4:$C$8,"0")</f>
        <v>1.1499999999999999</v>
      </c>
      <c r="E269">
        <f>_xlfn.XLOOKUP(B269, 'Control Panel'!$B$11:$B$17,'Control Panel'!$C$11:$C$17,"0")</f>
        <v>0.95</v>
      </c>
      <c r="G269" s="17" t="str">
        <f>_xlfn.XLOOKUP(F269, 'Control Panel'!$B$20:$B$26,'Control Panel'!$C$20:$C$26,"0")</f>
        <v>0</v>
      </c>
      <c r="H269" s="18">
        <v>0</v>
      </c>
      <c r="I269" s="18">
        <f t="shared" ref="I269:I334" si="4">(D269*E269)+G269+H269</f>
        <v>1.0924999999999998</v>
      </c>
      <c r="J269" s="18">
        <f>MAX(300,SUM('Control Panel'!$B$1*I269))</f>
        <v>327.74999999999994</v>
      </c>
    </row>
    <row r="270" spans="1:10" s="18" customFormat="1" x14ac:dyDescent="0.25">
      <c r="A270" s="15">
        <v>46282</v>
      </c>
      <c r="B270" s="16" t="s">
        <v>5</v>
      </c>
      <c r="C270" s="17" t="s">
        <v>20</v>
      </c>
      <c r="D270">
        <f>_xlfn.XLOOKUP(C270, 'Control Panel'!$B$4:$B$8,'Control Panel'!$C$4:$C$8,"0")</f>
        <v>1.1499999999999999</v>
      </c>
      <c r="E270">
        <f>_xlfn.XLOOKUP(B270, 'Control Panel'!$B$11:$B$17,'Control Panel'!$C$11:$C$17,"0")</f>
        <v>0.95</v>
      </c>
      <c r="G270" s="17" t="str">
        <f>_xlfn.XLOOKUP(F270, 'Control Panel'!$B$20:$B$26,'Control Panel'!$C$20:$C$26,"0")</f>
        <v>0</v>
      </c>
      <c r="H270" s="18">
        <v>0</v>
      </c>
      <c r="I270" s="18">
        <f t="shared" si="4"/>
        <v>1.0924999999999998</v>
      </c>
      <c r="J270" s="18">
        <f>MAX(300,SUM('Control Panel'!$B$1*I270))</f>
        <v>327.74999999999994</v>
      </c>
    </row>
    <row r="271" spans="1:10" s="18" customFormat="1" x14ac:dyDescent="0.25">
      <c r="A271" s="15">
        <v>46283</v>
      </c>
      <c r="B271" s="16" t="s">
        <v>8</v>
      </c>
      <c r="C271" s="17" t="s">
        <v>20</v>
      </c>
      <c r="D271">
        <f>_xlfn.XLOOKUP(C271, 'Control Panel'!$B$4:$B$8,'Control Panel'!$C$4:$C$8,"0")</f>
        <v>1.1499999999999999</v>
      </c>
      <c r="E271">
        <f>_xlfn.XLOOKUP(B271, 'Control Panel'!$B$11:$B$17,'Control Panel'!$C$11:$C$17,"0")</f>
        <v>1.1000000000000001</v>
      </c>
      <c r="G271" s="17" t="str">
        <f>_xlfn.XLOOKUP(F271, 'Control Panel'!$B$20:$B$26,'Control Panel'!$C$20:$C$26,"0")</f>
        <v>0</v>
      </c>
      <c r="H271" s="18">
        <v>0</v>
      </c>
      <c r="I271" s="18">
        <f t="shared" si="4"/>
        <v>1.2649999999999999</v>
      </c>
      <c r="J271" s="18">
        <f>MAX(300,SUM('Control Panel'!$B$1*I271))</f>
        <v>379.49999999999994</v>
      </c>
    </row>
    <row r="272" spans="1:10" s="18" customFormat="1" x14ac:dyDescent="0.25">
      <c r="A272" s="15">
        <v>46284</v>
      </c>
      <c r="B272" s="16" t="s">
        <v>9</v>
      </c>
      <c r="C272" s="17" t="s">
        <v>20</v>
      </c>
      <c r="D272">
        <f>_xlfn.XLOOKUP(C272, 'Control Panel'!$B$4:$B$8,'Control Panel'!$C$4:$C$8,"0")</f>
        <v>1.1499999999999999</v>
      </c>
      <c r="E272">
        <f>_xlfn.XLOOKUP(B272, 'Control Panel'!$B$11:$B$17,'Control Panel'!$C$11:$C$17,"0")</f>
        <v>1.25</v>
      </c>
      <c r="G272" s="17" t="str">
        <f>_xlfn.XLOOKUP(F272, 'Control Panel'!$B$20:$B$26,'Control Panel'!$C$20:$C$26,"0")</f>
        <v>0</v>
      </c>
      <c r="H272" s="18">
        <v>0</v>
      </c>
      <c r="I272" s="18">
        <f t="shared" si="4"/>
        <v>1.4375</v>
      </c>
      <c r="J272" s="18">
        <f>MAX(300,SUM('Control Panel'!$B$1*I272))</f>
        <v>431.25</v>
      </c>
    </row>
    <row r="273" spans="1:10" s="18" customFormat="1" x14ac:dyDescent="0.25">
      <c r="A273" s="15">
        <v>46285</v>
      </c>
      <c r="B273" s="16" t="s">
        <v>10</v>
      </c>
      <c r="C273" s="17" t="s">
        <v>20</v>
      </c>
      <c r="D273">
        <f>_xlfn.XLOOKUP(C273, 'Control Panel'!$B$4:$B$8,'Control Panel'!$C$4:$C$8,"0")</f>
        <v>1.1499999999999999</v>
      </c>
      <c r="E273">
        <f>_xlfn.XLOOKUP(B273, 'Control Panel'!$B$11:$B$17,'Control Panel'!$C$11:$C$17,"0")</f>
        <v>1.05</v>
      </c>
      <c r="G273" s="17" t="str">
        <f>_xlfn.XLOOKUP(F273, 'Control Panel'!$B$20:$B$26,'Control Panel'!$C$20:$C$26,"0")</f>
        <v>0</v>
      </c>
      <c r="H273" s="18">
        <v>0</v>
      </c>
      <c r="I273" s="18">
        <f t="shared" si="4"/>
        <v>1.2075</v>
      </c>
      <c r="J273" s="18">
        <f>MAX(300,SUM('Control Panel'!$B$1*I273))</f>
        <v>362.25</v>
      </c>
    </row>
    <row r="274" spans="1:10" x14ac:dyDescent="0.25">
      <c r="A274" s="5">
        <v>46286</v>
      </c>
      <c r="B274" s="7" t="s">
        <v>11</v>
      </c>
      <c r="C274" s="9" t="s">
        <v>20</v>
      </c>
      <c r="D274">
        <f>_xlfn.XLOOKUP(C274, 'Control Panel'!$B$4:$B$8,'Control Panel'!$C$4:$C$8,"0")</f>
        <v>1.1499999999999999</v>
      </c>
      <c r="E274">
        <f>_xlfn.XLOOKUP(B274, 'Control Panel'!$B$11:$B$17,'Control Panel'!$C$11:$C$17,"0")</f>
        <v>0.95</v>
      </c>
      <c r="G274" s="9" t="str">
        <f>_xlfn.XLOOKUP(F274, 'Control Panel'!$B$20:$B$26,'Control Panel'!$C$20:$C$26,"0")</f>
        <v>0</v>
      </c>
      <c r="H274">
        <v>0</v>
      </c>
      <c r="I274">
        <f t="shared" si="4"/>
        <v>1.0924999999999998</v>
      </c>
      <c r="J274">
        <f>MAX(300,SUM('Control Panel'!$B$1*I274))</f>
        <v>327.74999999999994</v>
      </c>
    </row>
    <row r="275" spans="1:10" x14ac:dyDescent="0.25">
      <c r="A275" s="5">
        <v>46287</v>
      </c>
      <c r="B275" s="7" t="s">
        <v>12</v>
      </c>
      <c r="C275" s="9" t="s">
        <v>20</v>
      </c>
      <c r="D275">
        <f>_xlfn.XLOOKUP(C275, 'Control Panel'!$B$4:$B$8,'Control Panel'!$C$4:$C$8,"0")</f>
        <v>1.1499999999999999</v>
      </c>
      <c r="E275">
        <f>_xlfn.XLOOKUP(B275, 'Control Panel'!$B$11:$B$17,'Control Panel'!$C$11:$C$17,"0")</f>
        <v>0.95</v>
      </c>
      <c r="G275" s="9" t="str">
        <f>_xlfn.XLOOKUP(F275, 'Control Panel'!$B$20:$B$26,'Control Panel'!$C$20:$C$26,"0")</f>
        <v>0</v>
      </c>
      <c r="H275">
        <v>0</v>
      </c>
      <c r="I275">
        <f t="shared" si="4"/>
        <v>1.0924999999999998</v>
      </c>
      <c r="J275">
        <f>MAX(300,SUM('Control Panel'!$B$1*I275))</f>
        <v>327.74999999999994</v>
      </c>
    </row>
    <row r="276" spans="1:10" x14ac:dyDescent="0.25">
      <c r="A276" s="5">
        <v>46288</v>
      </c>
      <c r="B276" s="7" t="s">
        <v>13</v>
      </c>
      <c r="C276" s="9" t="s">
        <v>20</v>
      </c>
      <c r="D276">
        <f>_xlfn.XLOOKUP(C276, 'Control Panel'!$B$4:$B$8,'Control Panel'!$C$4:$C$8,"0")</f>
        <v>1.1499999999999999</v>
      </c>
      <c r="E276">
        <f>_xlfn.XLOOKUP(B276, 'Control Panel'!$B$11:$B$17,'Control Panel'!$C$11:$C$17,"0")</f>
        <v>0.95</v>
      </c>
      <c r="G276" s="9" t="str">
        <f>_xlfn.XLOOKUP(F276, 'Control Panel'!$B$20:$B$26,'Control Panel'!$C$20:$C$26,"0")</f>
        <v>0</v>
      </c>
      <c r="H276">
        <v>0</v>
      </c>
      <c r="I276">
        <f t="shared" si="4"/>
        <v>1.0924999999999998</v>
      </c>
      <c r="J276">
        <f>MAX(300,SUM('Control Panel'!$B$1*I276))</f>
        <v>327.74999999999994</v>
      </c>
    </row>
    <row r="277" spans="1:10" x14ac:dyDescent="0.25">
      <c r="A277" s="5">
        <v>46289</v>
      </c>
      <c r="B277" s="7" t="s">
        <v>5</v>
      </c>
      <c r="C277" s="9" t="s">
        <v>20</v>
      </c>
      <c r="D277">
        <f>_xlfn.XLOOKUP(C277, 'Control Panel'!$B$4:$B$8,'Control Panel'!$C$4:$C$8,"0")</f>
        <v>1.1499999999999999</v>
      </c>
      <c r="E277">
        <f>_xlfn.XLOOKUP(B277, 'Control Panel'!$B$11:$B$17,'Control Panel'!$C$11:$C$17,"0")</f>
        <v>0.95</v>
      </c>
      <c r="G277" s="9" t="str">
        <f>_xlfn.XLOOKUP(F277, 'Control Panel'!$B$20:$B$26,'Control Panel'!$C$20:$C$26,"0")</f>
        <v>0</v>
      </c>
      <c r="H277">
        <v>0</v>
      </c>
      <c r="I277">
        <f t="shared" si="4"/>
        <v>1.0924999999999998</v>
      </c>
      <c r="J277">
        <f>MAX(300,SUM('Control Panel'!$B$1*I277))</f>
        <v>327.74999999999994</v>
      </c>
    </row>
    <row r="278" spans="1:10" x14ac:dyDescent="0.25">
      <c r="A278" s="5">
        <v>46290</v>
      </c>
      <c r="B278" s="7" t="s">
        <v>8</v>
      </c>
      <c r="C278" s="9" t="s">
        <v>20</v>
      </c>
      <c r="D278">
        <f>_xlfn.XLOOKUP(C278, 'Control Panel'!$B$4:$B$8,'Control Panel'!$C$4:$C$8,"0")</f>
        <v>1.1499999999999999</v>
      </c>
      <c r="E278">
        <f>_xlfn.XLOOKUP(B278, 'Control Panel'!$B$11:$B$17,'Control Panel'!$C$11:$C$17,"0")</f>
        <v>1.1000000000000001</v>
      </c>
      <c r="G278" s="9" t="str">
        <f>_xlfn.XLOOKUP(F278, 'Control Panel'!$B$20:$B$26,'Control Panel'!$C$20:$C$26,"0")</f>
        <v>0</v>
      </c>
      <c r="H278">
        <v>0</v>
      </c>
      <c r="I278">
        <f t="shared" si="4"/>
        <v>1.2649999999999999</v>
      </c>
      <c r="J278">
        <f>MAX(300,SUM('Control Panel'!$B$1*I278))</f>
        <v>379.49999999999994</v>
      </c>
    </row>
    <row r="279" spans="1:10" x14ac:dyDescent="0.25">
      <c r="A279" s="5">
        <v>46291</v>
      </c>
      <c r="B279" s="7" t="s">
        <v>9</v>
      </c>
      <c r="C279" s="9" t="s">
        <v>20</v>
      </c>
      <c r="D279">
        <f>_xlfn.XLOOKUP(C279, 'Control Panel'!$B$4:$B$8,'Control Panel'!$C$4:$C$8,"0")</f>
        <v>1.1499999999999999</v>
      </c>
      <c r="E279">
        <f>_xlfn.XLOOKUP(B279, 'Control Panel'!$B$11:$B$17,'Control Panel'!$C$11:$C$17,"0")</f>
        <v>1.25</v>
      </c>
      <c r="G279" s="9" t="str">
        <f>_xlfn.XLOOKUP(F279, 'Control Panel'!$B$20:$B$26,'Control Panel'!$C$20:$C$26,"0")</f>
        <v>0</v>
      </c>
      <c r="H279">
        <v>0</v>
      </c>
      <c r="I279">
        <f t="shared" si="4"/>
        <v>1.4375</v>
      </c>
      <c r="J279">
        <f>MAX(300,SUM('Control Panel'!$B$1*I279))</f>
        <v>431.25</v>
      </c>
    </row>
    <row r="280" spans="1:10" x14ac:dyDescent="0.25">
      <c r="A280" s="5">
        <v>46292</v>
      </c>
      <c r="B280" s="7" t="s">
        <v>10</v>
      </c>
      <c r="C280" s="9" t="s">
        <v>20</v>
      </c>
      <c r="D280">
        <f>_xlfn.XLOOKUP(C280, 'Control Panel'!$B$4:$B$8,'Control Panel'!$C$4:$C$8,"0")</f>
        <v>1.1499999999999999</v>
      </c>
      <c r="E280">
        <f>_xlfn.XLOOKUP(B280, 'Control Panel'!$B$11:$B$17,'Control Panel'!$C$11:$C$17,"0")</f>
        <v>1.05</v>
      </c>
      <c r="G280" s="9" t="str">
        <f>_xlfn.XLOOKUP(F280, 'Control Panel'!$B$20:$B$26,'Control Panel'!$C$20:$C$26,"0")</f>
        <v>0</v>
      </c>
      <c r="H280">
        <v>0</v>
      </c>
      <c r="I280">
        <f t="shared" si="4"/>
        <v>1.2075</v>
      </c>
      <c r="J280">
        <f>MAX(300,SUM('Control Panel'!$B$1*I280))</f>
        <v>362.25</v>
      </c>
    </row>
    <row r="281" spans="1:10" s="18" customFormat="1" x14ac:dyDescent="0.25">
      <c r="A281" s="15">
        <v>46293</v>
      </c>
      <c r="B281" s="16" t="s">
        <v>11</v>
      </c>
      <c r="C281" s="17" t="s">
        <v>20</v>
      </c>
      <c r="D281">
        <f>_xlfn.XLOOKUP(C281, 'Control Panel'!$B$4:$B$8,'Control Panel'!$C$4:$C$8,"0")</f>
        <v>1.1499999999999999</v>
      </c>
      <c r="E281">
        <f>_xlfn.XLOOKUP(B281, 'Control Panel'!$B$11:$B$17,'Control Panel'!$C$11:$C$17,"0")</f>
        <v>0.95</v>
      </c>
      <c r="G281" s="17" t="str">
        <f>_xlfn.XLOOKUP(F281, 'Control Panel'!$B$20:$B$26,'Control Panel'!$C$20:$C$26,"0")</f>
        <v>0</v>
      </c>
      <c r="H281" s="18">
        <v>0</v>
      </c>
      <c r="I281" s="18">
        <f t="shared" si="4"/>
        <v>1.0924999999999998</v>
      </c>
      <c r="J281" s="18">
        <f>MAX(300,SUM('Control Panel'!$B$1*I281))</f>
        <v>327.74999999999994</v>
      </c>
    </row>
    <row r="282" spans="1:10" s="18" customFormat="1" x14ac:dyDescent="0.25">
      <c r="A282" s="15">
        <v>46294</v>
      </c>
      <c r="B282" s="16" t="s">
        <v>12</v>
      </c>
      <c r="C282" s="17" t="s">
        <v>20</v>
      </c>
      <c r="D282">
        <f>_xlfn.XLOOKUP(C282, 'Control Panel'!$B$4:$B$8,'Control Panel'!$C$4:$C$8,"0")</f>
        <v>1.1499999999999999</v>
      </c>
      <c r="E282">
        <f>_xlfn.XLOOKUP(B282, 'Control Panel'!$B$11:$B$17,'Control Panel'!$C$11:$C$17,"0")</f>
        <v>0.95</v>
      </c>
      <c r="G282" s="17" t="str">
        <f>_xlfn.XLOOKUP(F282, 'Control Panel'!$B$20:$B$26,'Control Panel'!$C$20:$C$26,"0")</f>
        <v>0</v>
      </c>
      <c r="H282" s="18">
        <v>0</v>
      </c>
      <c r="I282" s="18">
        <f t="shared" si="4"/>
        <v>1.0924999999999998</v>
      </c>
      <c r="J282" s="18">
        <f>MAX(300,SUM('Control Panel'!$B$1*I282))</f>
        <v>327.74999999999994</v>
      </c>
    </row>
    <row r="283" spans="1:10" s="18" customFormat="1" x14ac:dyDescent="0.25">
      <c r="A283" s="15">
        <v>46295</v>
      </c>
      <c r="B283" s="16" t="s">
        <v>13</v>
      </c>
      <c r="C283" s="17" t="s">
        <v>20</v>
      </c>
      <c r="D283">
        <f>_xlfn.XLOOKUP(C283, 'Control Panel'!$B$4:$B$8,'Control Panel'!$C$4:$C$8,"0")</f>
        <v>1.1499999999999999</v>
      </c>
      <c r="E283">
        <f>_xlfn.XLOOKUP(B283, 'Control Panel'!$B$11:$B$17,'Control Panel'!$C$11:$C$17,"0")</f>
        <v>0.95</v>
      </c>
      <c r="G283" s="17" t="str">
        <f>_xlfn.XLOOKUP(F283, 'Control Panel'!$B$20:$B$26,'Control Panel'!$C$20:$C$26,"0")</f>
        <v>0</v>
      </c>
      <c r="H283" s="18">
        <v>0</v>
      </c>
      <c r="I283" s="18">
        <f t="shared" si="4"/>
        <v>1.0924999999999998</v>
      </c>
      <c r="J283" s="18">
        <f>MAX(300,SUM('Control Panel'!$B$1*I283))</f>
        <v>327.74999999999994</v>
      </c>
    </row>
    <row r="284" spans="1:10" s="18" customFormat="1" x14ac:dyDescent="0.25">
      <c r="A284" s="10" t="s">
        <v>41</v>
      </c>
      <c r="B284" s="13"/>
      <c r="C284" s="14"/>
      <c r="D284"/>
      <c r="E284"/>
      <c r="G284" s="17" t="str">
        <f>_xlfn.XLOOKUP(F284, 'Control Panel'!$B$20:$B$26,'Control Panel'!$C$20:$C$26,"0")</f>
        <v>0</v>
      </c>
    </row>
    <row r="285" spans="1:10" s="18" customFormat="1" x14ac:dyDescent="0.25">
      <c r="A285" s="15">
        <v>46296</v>
      </c>
      <c r="B285" s="16" t="s">
        <v>5</v>
      </c>
      <c r="C285" s="17" t="s">
        <v>20</v>
      </c>
      <c r="D285">
        <f>_xlfn.XLOOKUP(C285, 'Control Panel'!$B$4:$B$8,'Control Panel'!$C$4:$C$8,"0")</f>
        <v>1.1499999999999999</v>
      </c>
      <c r="E285">
        <f>_xlfn.XLOOKUP(B285, 'Control Panel'!$B$11:$B$17,'Control Panel'!$C$11:$C$17,"0")</f>
        <v>0.95</v>
      </c>
      <c r="G285" s="17" t="str">
        <f>_xlfn.XLOOKUP(F285, 'Control Panel'!$B$20:$B$26,'Control Panel'!$C$20:$C$26,"0")</f>
        <v>0</v>
      </c>
      <c r="H285" s="18">
        <v>0</v>
      </c>
      <c r="I285" s="18">
        <f t="shared" si="4"/>
        <v>1.0924999999999998</v>
      </c>
      <c r="J285" s="18">
        <f>MAX(300,SUM('Control Panel'!$B$1*I285))</f>
        <v>327.74999999999994</v>
      </c>
    </row>
    <row r="286" spans="1:10" s="18" customFormat="1" x14ac:dyDescent="0.25">
      <c r="A286" s="15">
        <v>46297</v>
      </c>
      <c r="B286" s="16" t="s">
        <v>8</v>
      </c>
      <c r="C286" s="17" t="s">
        <v>20</v>
      </c>
      <c r="D286">
        <f>_xlfn.XLOOKUP(C286, 'Control Panel'!$B$4:$B$8,'Control Panel'!$C$4:$C$8,"0")</f>
        <v>1.1499999999999999</v>
      </c>
      <c r="E286">
        <f>_xlfn.XLOOKUP(B286, 'Control Panel'!$B$11:$B$17,'Control Panel'!$C$11:$C$17,"0")</f>
        <v>1.1000000000000001</v>
      </c>
      <c r="G286" s="17" t="str">
        <f>_xlfn.XLOOKUP(F286, 'Control Panel'!$B$20:$B$26,'Control Panel'!$C$20:$C$26,"0")</f>
        <v>0</v>
      </c>
      <c r="H286" s="18">
        <v>0</v>
      </c>
      <c r="I286" s="18">
        <f t="shared" si="4"/>
        <v>1.2649999999999999</v>
      </c>
      <c r="J286" s="18">
        <f>MAX(300,SUM('Control Panel'!$B$1*I286))</f>
        <v>379.49999999999994</v>
      </c>
    </row>
    <row r="287" spans="1:10" s="18" customFormat="1" x14ac:dyDescent="0.25">
      <c r="A287" s="15">
        <v>46298</v>
      </c>
      <c r="B287" s="16" t="s">
        <v>9</v>
      </c>
      <c r="C287" s="17" t="s">
        <v>20</v>
      </c>
      <c r="D287">
        <f>_xlfn.XLOOKUP(C287, 'Control Panel'!$B$4:$B$8,'Control Panel'!$C$4:$C$8,"0")</f>
        <v>1.1499999999999999</v>
      </c>
      <c r="E287">
        <f>_xlfn.XLOOKUP(B287, 'Control Panel'!$B$11:$B$17,'Control Panel'!$C$11:$C$17,"0")</f>
        <v>1.25</v>
      </c>
      <c r="G287" s="17" t="str">
        <f>_xlfn.XLOOKUP(F287, 'Control Panel'!$B$20:$B$26,'Control Panel'!$C$20:$C$26,"0")</f>
        <v>0</v>
      </c>
      <c r="H287" s="18">
        <v>0</v>
      </c>
      <c r="I287" s="18">
        <f t="shared" si="4"/>
        <v>1.4375</v>
      </c>
      <c r="J287" s="18">
        <f>MAX(300,SUM('Control Panel'!$B$1*I287))</f>
        <v>431.25</v>
      </c>
    </row>
    <row r="288" spans="1:10" s="18" customFormat="1" x14ac:dyDescent="0.25">
      <c r="A288" s="15">
        <v>46299</v>
      </c>
      <c r="B288" s="16" t="s">
        <v>10</v>
      </c>
      <c r="C288" s="17" t="s">
        <v>20</v>
      </c>
      <c r="D288">
        <f>_xlfn.XLOOKUP(C288, 'Control Panel'!$B$4:$B$8,'Control Panel'!$C$4:$C$8,"0")</f>
        <v>1.1499999999999999</v>
      </c>
      <c r="E288">
        <f>_xlfn.XLOOKUP(B288, 'Control Panel'!$B$11:$B$17,'Control Panel'!$C$11:$C$17,"0")</f>
        <v>1.05</v>
      </c>
      <c r="G288" s="17" t="str">
        <f>_xlfn.XLOOKUP(F288, 'Control Panel'!$B$20:$B$26,'Control Panel'!$C$20:$C$26,"0")</f>
        <v>0</v>
      </c>
      <c r="H288" s="18">
        <v>0</v>
      </c>
      <c r="I288" s="18">
        <f t="shared" si="4"/>
        <v>1.2075</v>
      </c>
      <c r="J288" s="18">
        <f>MAX(300,SUM('Control Panel'!$B$1*I288))</f>
        <v>362.25</v>
      </c>
    </row>
    <row r="289" spans="1:10" x14ac:dyDescent="0.25">
      <c r="A289" s="5">
        <v>46300</v>
      </c>
      <c r="B289" s="7" t="s">
        <v>11</v>
      </c>
      <c r="C289" s="9" t="s">
        <v>20</v>
      </c>
      <c r="D289">
        <f>_xlfn.XLOOKUP(C289, 'Control Panel'!$B$4:$B$8,'Control Panel'!$C$4:$C$8,"0")</f>
        <v>1.1499999999999999</v>
      </c>
      <c r="E289">
        <f>_xlfn.XLOOKUP(B289, 'Control Panel'!$B$11:$B$17,'Control Panel'!$C$11:$C$17,"0")</f>
        <v>0.95</v>
      </c>
      <c r="G289" s="9" t="str">
        <f>_xlfn.XLOOKUP(F289, 'Control Panel'!$B$20:$B$26,'Control Panel'!$C$20:$C$26,"0")</f>
        <v>0</v>
      </c>
      <c r="H289">
        <v>0</v>
      </c>
      <c r="I289">
        <f t="shared" si="4"/>
        <v>1.0924999999999998</v>
      </c>
      <c r="J289">
        <f>MAX(300,SUM('Control Panel'!$B$1*I289))</f>
        <v>327.74999999999994</v>
      </c>
    </row>
    <row r="290" spans="1:10" x14ac:dyDescent="0.25">
      <c r="A290" s="5">
        <v>46301</v>
      </c>
      <c r="B290" s="7" t="s">
        <v>12</v>
      </c>
      <c r="C290" s="9" t="s">
        <v>20</v>
      </c>
      <c r="D290">
        <f>_xlfn.XLOOKUP(C290, 'Control Panel'!$B$4:$B$8,'Control Panel'!$C$4:$C$8,"0")</f>
        <v>1.1499999999999999</v>
      </c>
      <c r="E290">
        <f>_xlfn.XLOOKUP(B290, 'Control Panel'!$B$11:$B$17,'Control Panel'!$C$11:$C$17,"0")</f>
        <v>0.95</v>
      </c>
      <c r="G290" s="9" t="str">
        <f>_xlfn.XLOOKUP(F290, 'Control Panel'!$B$20:$B$26,'Control Panel'!$C$20:$C$26,"0")</f>
        <v>0</v>
      </c>
      <c r="H290">
        <v>0</v>
      </c>
      <c r="I290">
        <f t="shared" si="4"/>
        <v>1.0924999999999998</v>
      </c>
      <c r="J290">
        <f>MAX(300,SUM('Control Panel'!$B$1*I290))</f>
        <v>327.74999999999994</v>
      </c>
    </row>
    <row r="291" spans="1:10" x14ac:dyDescent="0.25">
      <c r="A291" s="5">
        <v>46302</v>
      </c>
      <c r="B291" s="7" t="s">
        <v>13</v>
      </c>
      <c r="C291" s="9" t="s">
        <v>20</v>
      </c>
      <c r="D291">
        <f>_xlfn.XLOOKUP(C291, 'Control Panel'!$B$4:$B$8,'Control Panel'!$C$4:$C$8,"0")</f>
        <v>1.1499999999999999</v>
      </c>
      <c r="E291">
        <f>_xlfn.XLOOKUP(B291, 'Control Panel'!$B$11:$B$17,'Control Panel'!$C$11:$C$17,"0")</f>
        <v>0.95</v>
      </c>
      <c r="G291" s="9" t="str">
        <f>_xlfn.XLOOKUP(F291, 'Control Panel'!$B$20:$B$26,'Control Panel'!$C$20:$C$26,"0")</f>
        <v>0</v>
      </c>
      <c r="H291">
        <v>0</v>
      </c>
      <c r="I291">
        <f t="shared" si="4"/>
        <v>1.0924999999999998</v>
      </c>
      <c r="J291">
        <f>MAX(300,SUM('Control Panel'!$B$1*I291))</f>
        <v>327.74999999999994</v>
      </c>
    </row>
    <row r="292" spans="1:10" x14ac:dyDescent="0.25">
      <c r="A292" s="5">
        <v>46303</v>
      </c>
      <c r="B292" s="7" t="s">
        <v>5</v>
      </c>
      <c r="C292" s="9" t="s">
        <v>20</v>
      </c>
      <c r="D292">
        <f>_xlfn.XLOOKUP(C292, 'Control Panel'!$B$4:$B$8,'Control Panel'!$C$4:$C$8,"0")</f>
        <v>1.1499999999999999</v>
      </c>
      <c r="E292">
        <f>_xlfn.XLOOKUP(B292, 'Control Panel'!$B$11:$B$17,'Control Panel'!$C$11:$C$17,"0")</f>
        <v>0.95</v>
      </c>
      <c r="G292" s="9" t="str">
        <f>_xlfn.XLOOKUP(F292, 'Control Panel'!$B$20:$B$26,'Control Panel'!$C$20:$C$26,"0")</f>
        <v>0</v>
      </c>
      <c r="H292">
        <v>0</v>
      </c>
      <c r="I292">
        <f t="shared" si="4"/>
        <v>1.0924999999999998</v>
      </c>
      <c r="J292">
        <f>MAX(300,SUM('Control Panel'!$B$1*I292))</f>
        <v>327.74999999999994</v>
      </c>
    </row>
    <row r="293" spans="1:10" x14ac:dyDescent="0.25">
      <c r="A293" s="5">
        <v>46304</v>
      </c>
      <c r="B293" s="7" t="s">
        <v>8</v>
      </c>
      <c r="C293" s="9" t="s">
        <v>20</v>
      </c>
      <c r="D293">
        <f>_xlfn.XLOOKUP(C293, 'Control Panel'!$B$4:$B$8,'Control Panel'!$C$4:$C$8,"0")</f>
        <v>1.1499999999999999</v>
      </c>
      <c r="E293">
        <f>_xlfn.XLOOKUP(B293, 'Control Panel'!$B$11:$B$17,'Control Panel'!$C$11:$C$17,"0")</f>
        <v>1.1000000000000001</v>
      </c>
      <c r="G293" s="9" t="str">
        <f>_xlfn.XLOOKUP(F293, 'Control Panel'!$B$20:$B$26,'Control Panel'!$C$20:$C$26,"0")</f>
        <v>0</v>
      </c>
      <c r="H293">
        <v>0</v>
      </c>
      <c r="I293">
        <f t="shared" si="4"/>
        <v>1.2649999999999999</v>
      </c>
      <c r="J293">
        <f>MAX(300,SUM('Control Panel'!$B$1*I293))</f>
        <v>379.49999999999994</v>
      </c>
    </row>
    <row r="294" spans="1:10" x14ac:dyDescent="0.25">
      <c r="A294" s="5">
        <v>46305</v>
      </c>
      <c r="B294" s="7" t="s">
        <v>9</v>
      </c>
      <c r="C294" s="9" t="s">
        <v>20</v>
      </c>
      <c r="D294">
        <f>_xlfn.XLOOKUP(C294, 'Control Panel'!$B$4:$B$8,'Control Panel'!$C$4:$C$8,"0")</f>
        <v>1.1499999999999999</v>
      </c>
      <c r="E294">
        <f>_xlfn.XLOOKUP(B294, 'Control Panel'!$B$11:$B$17,'Control Panel'!$C$11:$C$17,"0")</f>
        <v>1.25</v>
      </c>
      <c r="G294" s="9" t="str">
        <f>_xlfn.XLOOKUP(F294, 'Control Panel'!$B$20:$B$26,'Control Panel'!$C$20:$C$26,"0")</f>
        <v>0</v>
      </c>
      <c r="H294">
        <v>0</v>
      </c>
      <c r="I294">
        <f t="shared" si="4"/>
        <v>1.4375</v>
      </c>
      <c r="J294">
        <f>MAX(300,SUM('Control Panel'!$B$1*I294))</f>
        <v>431.25</v>
      </c>
    </row>
    <row r="295" spans="1:10" x14ac:dyDescent="0.25">
      <c r="A295" s="5">
        <v>46306</v>
      </c>
      <c r="B295" s="7" t="s">
        <v>10</v>
      </c>
      <c r="C295" s="9" t="s">
        <v>20</v>
      </c>
      <c r="D295">
        <f>_xlfn.XLOOKUP(C295, 'Control Panel'!$B$4:$B$8,'Control Panel'!$C$4:$C$8,"0")</f>
        <v>1.1499999999999999</v>
      </c>
      <c r="E295">
        <f>_xlfn.XLOOKUP(B295, 'Control Panel'!$B$11:$B$17,'Control Panel'!$C$11:$C$17,"0")</f>
        <v>1.05</v>
      </c>
      <c r="G295" s="9" t="str">
        <f>_xlfn.XLOOKUP(F295, 'Control Panel'!$B$20:$B$26,'Control Panel'!$C$20:$C$26,"0")</f>
        <v>0</v>
      </c>
      <c r="H295">
        <v>0</v>
      </c>
      <c r="I295">
        <f t="shared" si="4"/>
        <v>1.2075</v>
      </c>
      <c r="J295">
        <f>MAX(300,SUM('Control Panel'!$B$1*I295))</f>
        <v>362.25</v>
      </c>
    </row>
    <row r="296" spans="1:10" s="18" customFormat="1" x14ac:dyDescent="0.25">
      <c r="A296" s="15">
        <v>46307</v>
      </c>
      <c r="B296" s="16" t="s">
        <v>11</v>
      </c>
      <c r="C296" s="17" t="s">
        <v>20</v>
      </c>
      <c r="D296">
        <f>_xlfn.XLOOKUP(C296, 'Control Panel'!$B$4:$B$8,'Control Panel'!$C$4:$C$8,"0")</f>
        <v>1.1499999999999999</v>
      </c>
      <c r="E296">
        <f>_xlfn.XLOOKUP(B296, 'Control Panel'!$B$11:$B$17,'Control Panel'!$C$11:$C$17,"0")</f>
        <v>0.95</v>
      </c>
      <c r="F296" s="18" t="s">
        <v>22</v>
      </c>
      <c r="G296" s="17">
        <f>_xlfn.XLOOKUP(F296, 'Control Panel'!$B$20:$B$26,'Control Panel'!$C$20:$C$26,"0")</f>
        <v>0.25</v>
      </c>
      <c r="H296" s="18">
        <v>0</v>
      </c>
      <c r="I296" s="18">
        <f t="shared" si="4"/>
        <v>1.3424999999999998</v>
      </c>
      <c r="J296" s="18">
        <f>MAX(300,SUM('Control Panel'!$B$1*I296))</f>
        <v>402.74999999999994</v>
      </c>
    </row>
    <row r="297" spans="1:10" s="18" customFormat="1" x14ac:dyDescent="0.25">
      <c r="A297" s="15">
        <v>46308</v>
      </c>
      <c r="B297" s="16" t="s">
        <v>12</v>
      </c>
      <c r="C297" s="17" t="s">
        <v>20</v>
      </c>
      <c r="D297">
        <f>_xlfn.XLOOKUP(C297, 'Control Panel'!$B$4:$B$8,'Control Panel'!$C$4:$C$8,"0")</f>
        <v>1.1499999999999999</v>
      </c>
      <c r="E297">
        <f>_xlfn.XLOOKUP(B297, 'Control Panel'!$B$11:$B$17,'Control Panel'!$C$11:$C$17,"0")</f>
        <v>0.95</v>
      </c>
      <c r="G297" s="17" t="str">
        <f>_xlfn.XLOOKUP(F297, 'Control Panel'!$B$20:$B$26,'Control Panel'!$C$20:$C$26,"0")</f>
        <v>0</v>
      </c>
      <c r="H297" s="18">
        <v>0</v>
      </c>
      <c r="I297" s="18">
        <f t="shared" si="4"/>
        <v>1.0924999999999998</v>
      </c>
      <c r="J297" s="18">
        <f>MAX(300,SUM('Control Panel'!$B$1*I297))</f>
        <v>327.74999999999994</v>
      </c>
    </row>
    <row r="298" spans="1:10" s="18" customFormat="1" x14ac:dyDescent="0.25">
      <c r="A298" s="15">
        <v>46309</v>
      </c>
      <c r="B298" s="16" t="s">
        <v>13</v>
      </c>
      <c r="C298" s="17" t="s">
        <v>20</v>
      </c>
      <c r="D298">
        <f>_xlfn.XLOOKUP(C298, 'Control Panel'!$B$4:$B$8,'Control Panel'!$C$4:$C$8,"0")</f>
        <v>1.1499999999999999</v>
      </c>
      <c r="E298">
        <f>_xlfn.XLOOKUP(B298, 'Control Panel'!$B$11:$B$17,'Control Panel'!$C$11:$C$17,"0")</f>
        <v>0.95</v>
      </c>
      <c r="G298" s="17" t="str">
        <f>_xlfn.XLOOKUP(F298, 'Control Panel'!$B$20:$B$26,'Control Panel'!$C$20:$C$26,"0")</f>
        <v>0</v>
      </c>
      <c r="H298" s="18">
        <v>0</v>
      </c>
      <c r="I298" s="18">
        <f t="shared" si="4"/>
        <v>1.0924999999999998</v>
      </c>
      <c r="J298" s="18">
        <f>MAX(300,SUM('Control Panel'!$B$1*I298))</f>
        <v>327.74999999999994</v>
      </c>
    </row>
    <row r="299" spans="1:10" s="18" customFormat="1" x14ac:dyDescent="0.25">
      <c r="A299" s="15">
        <v>46310</v>
      </c>
      <c r="B299" s="16" t="s">
        <v>5</v>
      </c>
      <c r="C299" s="17" t="s">
        <v>20</v>
      </c>
      <c r="D299">
        <f>_xlfn.XLOOKUP(C299, 'Control Panel'!$B$4:$B$8,'Control Panel'!$C$4:$C$8,"0")</f>
        <v>1.1499999999999999</v>
      </c>
      <c r="E299">
        <f>_xlfn.XLOOKUP(B299, 'Control Panel'!$B$11:$B$17,'Control Panel'!$C$11:$C$17,"0")</f>
        <v>0.95</v>
      </c>
      <c r="G299" s="17" t="str">
        <f>_xlfn.XLOOKUP(F299, 'Control Panel'!$B$20:$B$26,'Control Panel'!$C$20:$C$26,"0")</f>
        <v>0</v>
      </c>
      <c r="H299" s="18">
        <v>0</v>
      </c>
      <c r="I299" s="18">
        <f t="shared" si="4"/>
        <v>1.0924999999999998</v>
      </c>
      <c r="J299" s="18">
        <f>MAX(300,SUM('Control Panel'!$B$1*I299))</f>
        <v>327.74999999999994</v>
      </c>
    </row>
    <row r="300" spans="1:10" s="18" customFormat="1" x14ac:dyDescent="0.25">
      <c r="A300" s="15">
        <v>46311</v>
      </c>
      <c r="B300" s="16" t="s">
        <v>8</v>
      </c>
      <c r="C300" s="17" t="s">
        <v>20</v>
      </c>
      <c r="D300">
        <f>_xlfn.XLOOKUP(C300, 'Control Panel'!$B$4:$B$8,'Control Panel'!$C$4:$C$8,"0")</f>
        <v>1.1499999999999999</v>
      </c>
      <c r="E300">
        <f>_xlfn.XLOOKUP(B300, 'Control Panel'!$B$11:$B$17,'Control Panel'!$C$11:$C$17,"0")</f>
        <v>1.1000000000000001</v>
      </c>
      <c r="G300" s="17" t="str">
        <f>_xlfn.XLOOKUP(F300, 'Control Panel'!$B$20:$B$26,'Control Panel'!$C$20:$C$26,"0")</f>
        <v>0</v>
      </c>
      <c r="H300" s="18">
        <v>0</v>
      </c>
      <c r="I300" s="18">
        <f t="shared" si="4"/>
        <v>1.2649999999999999</v>
      </c>
      <c r="J300" s="18">
        <f>MAX(300,SUM('Control Panel'!$B$1*I300))</f>
        <v>379.49999999999994</v>
      </c>
    </row>
    <row r="301" spans="1:10" s="18" customFormat="1" x14ac:dyDescent="0.25">
      <c r="A301" s="15">
        <v>46312</v>
      </c>
      <c r="B301" s="16" t="s">
        <v>9</v>
      </c>
      <c r="C301" s="17" t="s">
        <v>20</v>
      </c>
      <c r="D301">
        <f>_xlfn.XLOOKUP(C301, 'Control Panel'!$B$4:$B$8,'Control Panel'!$C$4:$C$8,"0")</f>
        <v>1.1499999999999999</v>
      </c>
      <c r="E301">
        <f>_xlfn.XLOOKUP(B301, 'Control Panel'!$B$11:$B$17,'Control Panel'!$C$11:$C$17,"0")</f>
        <v>1.25</v>
      </c>
      <c r="G301" s="17" t="str">
        <f>_xlfn.XLOOKUP(F301, 'Control Panel'!$B$20:$B$26,'Control Panel'!$C$20:$C$26,"0")</f>
        <v>0</v>
      </c>
      <c r="H301" s="18">
        <v>0</v>
      </c>
      <c r="I301" s="18">
        <f t="shared" si="4"/>
        <v>1.4375</v>
      </c>
      <c r="J301" s="18">
        <f>MAX(300,SUM('Control Panel'!$B$1*I301))</f>
        <v>431.25</v>
      </c>
    </row>
    <row r="302" spans="1:10" s="18" customFormat="1" x14ac:dyDescent="0.25">
      <c r="A302" s="15">
        <v>46313</v>
      </c>
      <c r="B302" s="16" t="s">
        <v>10</v>
      </c>
      <c r="C302" s="17" t="s">
        <v>20</v>
      </c>
      <c r="D302">
        <f>_xlfn.XLOOKUP(C302, 'Control Panel'!$B$4:$B$8,'Control Panel'!$C$4:$C$8,"0")</f>
        <v>1.1499999999999999</v>
      </c>
      <c r="E302">
        <f>_xlfn.XLOOKUP(B302, 'Control Panel'!$B$11:$B$17,'Control Panel'!$C$11:$C$17,"0")</f>
        <v>1.05</v>
      </c>
      <c r="G302" s="17" t="str">
        <f>_xlfn.XLOOKUP(F302, 'Control Panel'!$B$20:$B$26,'Control Panel'!$C$20:$C$26,"0")</f>
        <v>0</v>
      </c>
      <c r="H302" s="18">
        <v>0</v>
      </c>
      <c r="I302" s="18">
        <f t="shared" si="4"/>
        <v>1.2075</v>
      </c>
      <c r="J302" s="18">
        <f>MAX(300,SUM('Control Panel'!$B$1*I302))</f>
        <v>362.25</v>
      </c>
    </row>
    <row r="303" spans="1:10" x14ac:dyDescent="0.25">
      <c r="A303" s="5">
        <v>46314</v>
      </c>
      <c r="B303" s="7" t="s">
        <v>11</v>
      </c>
      <c r="C303" s="9" t="s">
        <v>20</v>
      </c>
      <c r="D303">
        <f>_xlfn.XLOOKUP(C303, 'Control Panel'!$B$4:$B$8,'Control Panel'!$C$4:$C$8,"0")</f>
        <v>1.1499999999999999</v>
      </c>
      <c r="E303">
        <f>_xlfn.XLOOKUP(B303, 'Control Panel'!$B$11:$B$17,'Control Panel'!$C$11:$C$17,"0")</f>
        <v>0.95</v>
      </c>
      <c r="G303" s="9" t="str">
        <f>_xlfn.XLOOKUP(F303, 'Control Panel'!$B$20:$B$26,'Control Panel'!$C$20:$C$26,"0")</f>
        <v>0</v>
      </c>
      <c r="H303">
        <v>0</v>
      </c>
      <c r="I303">
        <f t="shared" si="4"/>
        <v>1.0924999999999998</v>
      </c>
      <c r="J303">
        <f>MAX(300,SUM('Control Panel'!$B$1*I303))</f>
        <v>327.74999999999994</v>
      </c>
    </row>
    <row r="304" spans="1:10" x14ac:dyDescent="0.25">
      <c r="A304" s="5">
        <v>46315</v>
      </c>
      <c r="B304" s="7" t="s">
        <v>12</v>
      </c>
      <c r="C304" s="9" t="s">
        <v>20</v>
      </c>
      <c r="D304">
        <f>_xlfn.XLOOKUP(C304, 'Control Panel'!$B$4:$B$8,'Control Panel'!$C$4:$C$8,"0")</f>
        <v>1.1499999999999999</v>
      </c>
      <c r="E304">
        <f>_xlfn.XLOOKUP(B304, 'Control Panel'!$B$11:$B$17,'Control Panel'!$C$11:$C$17,"0")</f>
        <v>0.95</v>
      </c>
      <c r="G304" s="9" t="str">
        <f>_xlfn.XLOOKUP(F304, 'Control Panel'!$B$20:$B$26,'Control Panel'!$C$20:$C$26,"0")</f>
        <v>0</v>
      </c>
      <c r="H304">
        <v>0</v>
      </c>
      <c r="I304">
        <f t="shared" si="4"/>
        <v>1.0924999999999998</v>
      </c>
      <c r="J304">
        <f>MAX(300,SUM('Control Panel'!$B$1*I304))</f>
        <v>327.74999999999994</v>
      </c>
    </row>
    <row r="305" spans="1:10" x14ac:dyDescent="0.25">
      <c r="A305" s="5">
        <v>46316</v>
      </c>
      <c r="B305" s="7" t="s">
        <v>13</v>
      </c>
      <c r="C305" s="9" t="s">
        <v>20</v>
      </c>
      <c r="D305">
        <f>_xlfn.XLOOKUP(C305, 'Control Panel'!$B$4:$B$8,'Control Panel'!$C$4:$C$8,"0")</f>
        <v>1.1499999999999999</v>
      </c>
      <c r="E305">
        <f>_xlfn.XLOOKUP(B305, 'Control Panel'!$B$11:$B$17,'Control Panel'!$C$11:$C$17,"0")</f>
        <v>0.95</v>
      </c>
      <c r="G305" s="9" t="str">
        <f>_xlfn.XLOOKUP(F305, 'Control Panel'!$B$20:$B$26,'Control Panel'!$C$20:$C$26,"0")</f>
        <v>0</v>
      </c>
      <c r="H305">
        <v>0</v>
      </c>
      <c r="I305">
        <f t="shared" si="4"/>
        <v>1.0924999999999998</v>
      </c>
      <c r="J305">
        <f>MAX(300,SUM('Control Panel'!$B$1*I305))</f>
        <v>327.74999999999994</v>
      </c>
    </row>
    <row r="306" spans="1:10" x14ac:dyDescent="0.25">
      <c r="A306" s="5">
        <v>46317</v>
      </c>
      <c r="B306" s="7" t="s">
        <v>5</v>
      </c>
      <c r="C306" s="9" t="s">
        <v>20</v>
      </c>
      <c r="D306">
        <f>_xlfn.XLOOKUP(C306, 'Control Panel'!$B$4:$B$8,'Control Panel'!$C$4:$C$8,"0")</f>
        <v>1.1499999999999999</v>
      </c>
      <c r="E306">
        <f>_xlfn.XLOOKUP(B306, 'Control Panel'!$B$11:$B$17,'Control Panel'!$C$11:$C$17,"0")</f>
        <v>0.95</v>
      </c>
      <c r="G306" s="9" t="str">
        <f>_xlfn.XLOOKUP(F306, 'Control Panel'!$B$20:$B$26,'Control Panel'!$C$20:$C$26,"0")</f>
        <v>0</v>
      </c>
      <c r="H306">
        <v>0</v>
      </c>
      <c r="I306">
        <f t="shared" si="4"/>
        <v>1.0924999999999998</v>
      </c>
      <c r="J306">
        <f>MAX(300,SUM('Control Panel'!$B$1*I306))</f>
        <v>327.74999999999994</v>
      </c>
    </row>
    <row r="307" spans="1:10" x14ac:dyDescent="0.25">
      <c r="A307" s="5">
        <v>46318</v>
      </c>
      <c r="B307" s="7" t="s">
        <v>8</v>
      </c>
      <c r="C307" s="9" t="s">
        <v>20</v>
      </c>
      <c r="D307">
        <f>_xlfn.XLOOKUP(C307, 'Control Panel'!$B$4:$B$8,'Control Panel'!$C$4:$C$8,"0")</f>
        <v>1.1499999999999999</v>
      </c>
      <c r="E307">
        <f>_xlfn.XLOOKUP(B307, 'Control Panel'!$B$11:$B$17,'Control Panel'!$C$11:$C$17,"0")</f>
        <v>1.1000000000000001</v>
      </c>
      <c r="G307" s="9" t="str">
        <f>_xlfn.XLOOKUP(F307, 'Control Panel'!$B$20:$B$26,'Control Panel'!$C$20:$C$26,"0")</f>
        <v>0</v>
      </c>
      <c r="H307">
        <v>0</v>
      </c>
      <c r="I307">
        <f t="shared" si="4"/>
        <v>1.2649999999999999</v>
      </c>
      <c r="J307">
        <f>MAX(300,SUM('Control Panel'!$B$1*I307))</f>
        <v>379.49999999999994</v>
      </c>
    </row>
    <row r="308" spans="1:10" x14ac:dyDescent="0.25">
      <c r="A308" s="5">
        <v>46319</v>
      </c>
      <c r="B308" s="7" t="s">
        <v>9</v>
      </c>
      <c r="C308" s="9" t="s">
        <v>20</v>
      </c>
      <c r="D308">
        <f>_xlfn.XLOOKUP(C308, 'Control Panel'!$B$4:$B$8,'Control Panel'!$C$4:$C$8,"0")</f>
        <v>1.1499999999999999</v>
      </c>
      <c r="E308">
        <f>_xlfn.XLOOKUP(B308, 'Control Panel'!$B$11:$B$17,'Control Panel'!$C$11:$C$17,"0")</f>
        <v>1.25</v>
      </c>
      <c r="G308" s="9" t="str">
        <f>_xlfn.XLOOKUP(F308, 'Control Panel'!$B$20:$B$26,'Control Panel'!$C$20:$C$26,"0")</f>
        <v>0</v>
      </c>
      <c r="H308">
        <v>0</v>
      </c>
      <c r="I308">
        <f t="shared" si="4"/>
        <v>1.4375</v>
      </c>
      <c r="J308">
        <f>MAX(300,SUM('Control Panel'!$B$1*I308))</f>
        <v>431.25</v>
      </c>
    </row>
    <row r="309" spans="1:10" x14ac:dyDescent="0.25">
      <c r="A309" s="5">
        <v>46320</v>
      </c>
      <c r="B309" s="7" t="s">
        <v>10</v>
      </c>
      <c r="C309" s="9" t="s">
        <v>20</v>
      </c>
      <c r="D309">
        <f>_xlfn.XLOOKUP(C309, 'Control Panel'!$B$4:$B$8,'Control Panel'!$C$4:$C$8,"0")</f>
        <v>1.1499999999999999</v>
      </c>
      <c r="E309">
        <f>_xlfn.XLOOKUP(B309, 'Control Panel'!$B$11:$B$17,'Control Panel'!$C$11:$C$17,"0")</f>
        <v>1.05</v>
      </c>
      <c r="G309" s="9" t="str">
        <f>_xlfn.XLOOKUP(F309, 'Control Panel'!$B$20:$B$26,'Control Panel'!$C$20:$C$26,"0")</f>
        <v>0</v>
      </c>
      <c r="H309">
        <v>0</v>
      </c>
      <c r="I309">
        <f t="shared" si="4"/>
        <v>1.2075</v>
      </c>
      <c r="J309">
        <f>MAX(300,SUM('Control Panel'!$B$1*I309))</f>
        <v>362.25</v>
      </c>
    </row>
    <row r="310" spans="1:10" s="18" customFormat="1" x14ac:dyDescent="0.25">
      <c r="A310" s="15">
        <v>46321</v>
      </c>
      <c r="B310" s="16" t="s">
        <v>11</v>
      </c>
      <c r="C310" s="17" t="s">
        <v>20</v>
      </c>
      <c r="D310">
        <f>_xlfn.XLOOKUP(C310, 'Control Panel'!$B$4:$B$8,'Control Panel'!$C$4:$C$8,"0")</f>
        <v>1.1499999999999999</v>
      </c>
      <c r="E310">
        <f>_xlfn.XLOOKUP(B310, 'Control Panel'!$B$11:$B$17,'Control Panel'!$C$11:$C$17,"0")</f>
        <v>0.95</v>
      </c>
      <c r="G310" s="17" t="str">
        <f>_xlfn.XLOOKUP(F310, 'Control Panel'!$B$20:$B$26,'Control Panel'!$C$20:$C$26,"0")</f>
        <v>0</v>
      </c>
      <c r="H310" s="18">
        <v>0</v>
      </c>
      <c r="I310" s="18">
        <f t="shared" si="4"/>
        <v>1.0924999999999998</v>
      </c>
      <c r="J310" s="18">
        <f>MAX(300,SUM('Control Panel'!$B$1*I310))</f>
        <v>327.74999999999994</v>
      </c>
    </row>
    <row r="311" spans="1:10" s="18" customFormat="1" x14ac:dyDescent="0.25">
      <c r="A311" s="15">
        <v>46322</v>
      </c>
      <c r="B311" s="16" t="s">
        <v>12</v>
      </c>
      <c r="C311" s="17" t="s">
        <v>20</v>
      </c>
      <c r="D311">
        <f>_xlfn.XLOOKUP(C311, 'Control Panel'!$B$4:$B$8,'Control Panel'!$C$4:$C$8,"0")</f>
        <v>1.1499999999999999</v>
      </c>
      <c r="E311">
        <f>_xlfn.XLOOKUP(B311, 'Control Panel'!$B$11:$B$17,'Control Panel'!$C$11:$C$17,"0")</f>
        <v>0.95</v>
      </c>
      <c r="G311" s="17" t="str">
        <f>_xlfn.XLOOKUP(F311, 'Control Panel'!$B$20:$B$26,'Control Panel'!$C$20:$C$26,"0")</f>
        <v>0</v>
      </c>
      <c r="H311" s="18">
        <v>0</v>
      </c>
      <c r="I311" s="18">
        <f t="shared" si="4"/>
        <v>1.0924999999999998</v>
      </c>
      <c r="J311" s="18">
        <f>MAX(300,SUM('Control Panel'!$B$1*I311))</f>
        <v>327.74999999999994</v>
      </c>
    </row>
    <row r="312" spans="1:10" s="18" customFormat="1" x14ac:dyDescent="0.25">
      <c r="A312" s="15">
        <v>46323</v>
      </c>
      <c r="B312" s="16" t="s">
        <v>13</v>
      </c>
      <c r="C312" s="17" t="s">
        <v>20</v>
      </c>
      <c r="D312">
        <f>_xlfn.XLOOKUP(C312, 'Control Panel'!$B$4:$B$8,'Control Panel'!$C$4:$C$8,"0")</f>
        <v>1.1499999999999999</v>
      </c>
      <c r="E312">
        <f>_xlfn.XLOOKUP(B312, 'Control Panel'!$B$11:$B$17,'Control Panel'!$C$11:$C$17,"0")</f>
        <v>0.95</v>
      </c>
      <c r="G312" s="17" t="str">
        <f>_xlfn.XLOOKUP(F312, 'Control Panel'!$B$20:$B$26,'Control Panel'!$C$20:$C$26,"0")</f>
        <v>0</v>
      </c>
      <c r="H312" s="18">
        <v>0</v>
      </c>
      <c r="I312" s="18">
        <f t="shared" si="4"/>
        <v>1.0924999999999998</v>
      </c>
      <c r="J312" s="18">
        <f>MAX(300,SUM('Control Panel'!$B$1*I312))</f>
        <v>327.74999999999994</v>
      </c>
    </row>
    <row r="313" spans="1:10" s="18" customFormat="1" x14ac:dyDescent="0.25">
      <c r="A313" s="15">
        <v>46324</v>
      </c>
      <c r="B313" s="16" t="s">
        <v>5</v>
      </c>
      <c r="C313" s="17" t="s">
        <v>20</v>
      </c>
      <c r="D313">
        <f>_xlfn.XLOOKUP(C313, 'Control Panel'!$B$4:$B$8,'Control Panel'!$C$4:$C$8,"0")</f>
        <v>1.1499999999999999</v>
      </c>
      <c r="E313">
        <f>_xlfn.XLOOKUP(B313, 'Control Panel'!$B$11:$B$17,'Control Panel'!$C$11:$C$17,"0")</f>
        <v>0.95</v>
      </c>
      <c r="G313" s="17" t="str">
        <f>_xlfn.XLOOKUP(F313, 'Control Panel'!$B$20:$B$26,'Control Panel'!$C$20:$C$26,"0")</f>
        <v>0</v>
      </c>
      <c r="H313" s="18">
        <v>0</v>
      </c>
      <c r="I313" s="18">
        <f t="shared" si="4"/>
        <v>1.0924999999999998</v>
      </c>
      <c r="J313" s="18">
        <f>MAX(300,SUM('Control Panel'!$B$1*I313))</f>
        <v>327.74999999999994</v>
      </c>
    </row>
    <row r="314" spans="1:10" s="18" customFormat="1" x14ac:dyDescent="0.25">
      <c r="A314" s="15">
        <v>46325</v>
      </c>
      <c r="B314" s="16" t="s">
        <v>8</v>
      </c>
      <c r="C314" s="17" t="s">
        <v>20</v>
      </c>
      <c r="D314">
        <f>_xlfn.XLOOKUP(C314, 'Control Panel'!$B$4:$B$8,'Control Panel'!$C$4:$C$8,"0")</f>
        <v>1.1499999999999999</v>
      </c>
      <c r="E314">
        <f>_xlfn.XLOOKUP(B314, 'Control Panel'!$B$11:$B$17,'Control Panel'!$C$11:$C$17,"0")</f>
        <v>1.1000000000000001</v>
      </c>
      <c r="G314" s="17" t="str">
        <f>_xlfn.XLOOKUP(F314, 'Control Panel'!$B$20:$B$26,'Control Panel'!$C$20:$C$26,"0")</f>
        <v>0</v>
      </c>
      <c r="H314" s="18">
        <v>0</v>
      </c>
      <c r="I314" s="18">
        <f t="shared" si="4"/>
        <v>1.2649999999999999</v>
      </c>
      <c r="J314" s="18">
        <f>MAX(300,SUM('Control Panel'!$B$1*I314))</f>
        <v>379.49999999999994</v>
      </c>
    </row>
    <row r="315" spans="1:10" s="18" customFormat="1" x14ac:dyDescent="0.25">
      <c r="A315" s="15">
        <v>46326</v>
      </c>
      <c r="B315" s="16" t="s">
        <v>9</v>
      </c>
      <c r="C315" s="17" t="s">
        <v>20</v>
      </c>
      <c r="D315">
        <f>_xlfn.XLOOKUP(C315, 'Control Panel'!$B$4:$B$8,'Control Panel'!$C$4:$C$8,"0")</f>
        <v>1.1499999999999999</v>
      </c>
      <c r="E315">
        <f>_xlfn.XLOOKUP(B315, 'Control Panel'!$B$11:$B$17,'Control Panel'!$C$11:$C$17,"0")</f>
        <v>1.25</v>
      </c>
      <c r="G315" s="17" t="str">
        <f>_xlfn.XLOOKUP(F315, 'Control Panel'!$B$20:$B$26,'Control Panel'!$C$20:$C$26,"0")</f>
        <v>0</v>
      </c>
      <c r="H315" s="18">
        <v>0</v>
      </c>
      <c r="I315" s="18">
        <f t="shared" si="4"/>
        <v>1.4375</v>
      </c>
      <c r="J315" s="18">
        <f>MAX(300,SUM('Control Panel'!$B$1*I315))</f>
        <v>431.25</v>
      </c>
    </row>
    <row r="316" spans="1:10" s="19" customFormat="1" ht="15.75" x14ac:dyDescent="0.25">
      <c r="A316" s="10" t="s">
        <v>42</v>
      </c>
      <c r="B316" s="13"/>
      <c r="C316" s="14"/>
      <c r="D316"/>
      <c r="E316"/>
      <c r="G316" s="17" t="str">
        <f>_xlfn.XLOOKUP(F316, 'Control Panel'!$B$20:$B$26,'Control Panel'!$C$20:$C$26,"0")</f>
        <v>0</v>
      </c>
    </row>
    <row r="317" spans="1:10" s="18" customFormat="1" x14ac:dyDescent="0.25">
      <c r="A317" s="15">
        <v>46327</v>
      </c>
      <c r="B317" s="16" t="s">
        <v>10</v>
      </c>
      <c r="C317" s="17" t="s">
        <v>14</v>
      </c>
      <c r="D317">
        <f>_xlfn.XLOOKUP(C317, 'Control Panel'!$B$4:$B$8,'Control Panel'!$C$4:$C$8,"0")</f>
        <v>0.85</v>
      </c>
      <c r="E317">
        <f>_xlfn.XLOOKUP(B317, 'Control Panel'!$B$11:$B$17,'Control Panel'!$C$11:$C$17,"0")</f>
        <v>1.05</v>
      </c>
      <c r="G317" s="17" t="str">
        <f>_xlfn.XLOOKUP(F317, 'Control Panel'!$B$20:$B$26,'Control Panel'!$C$20:$C$26,"0")</f>
        <v>0</v>
      </c>
      <c r="H317" s="18">
        <v>0</v>
      </c>
      <c r="I317" s="18">
        <f t="shared" si="4"/>
        <v>0.89249999999999996</v>
      </c>
      <c r="J317" s="18">
        <f>MAX(300,SUM('Control Panel'!$B$1*I317))</f>
        <v>300</v>
      </c>
    </row>
    <row r="318" spans="1:10" x14ac:dyDescent="0.25">
      <c r="A318" s="5">
        <v>46328</v>
      </c>
      <c r="B318" s="7" t="s">
        <v>11</v>
      </c>
      <c r="C318" s="9" t="s">
        <v>14</v>
      </c>
      <c r="D318">
        <f>_xlfn.XLOOKUP(C318, 'Control Panel'!$B$4:$B$8,'Control Panel'!$C$4:$C$8,"0")</f>
        <v>0.85</v>
      </c>
      <c r="E318">
        <f>_xlfn.XLOOKUP(B318, 'Control Panel'!$B$11:$B$17,'Control Panel'!$C$11:$C$17,"0")</f>
        <v>0.95</v>
      </c>
      <c r="G318" s="9" t="str">
        <f>_xlfn.XLOOKUP(F318, 'Control Panel'!$B$20:$B$26,'Control Panel'!$C$20:$C$26,"0")</f>
        <v>0</v>
      </c>
      <c r="H318">
        <v>0</v>
      </c>
      <c r="I318">
        <f t="shared" si="4"/>
        <v>0.8075</v>
      </c>
      <c r="J318">
        <f>MAX(300,SUM('Control Panel'!$B$1*I318))</f>
        <v>300</v>
      </c>
    </row>
    <row r="319" spans="1:10" x14ac:dyDescent="0.25">
      <c r="A319" s="5">
        <v>46329</v>
      </c>
      <c r="B319" s="7" t="s">
        <v>12</v>
      </c>
      <c r="C319" s="9" t="s">
        <v>14</v>
      </c>
      <c r="D319">
        <f>_xlfn.XLOOKUP(C319, 'Control Panel'!$B$4:$B$8,'Control Panel'!$C$4:$C$8,"0")</f>
        <v>0.85</v>
      </c>
      <c r="E319">
        <f>_xlfn.XLOOKUP(B319, 'Control Panel'!$B$11:$B$17,'Control Panel'!$C$11:$C$17,"0")</f>
        <v>0.95</v>
      </c>
      <c r="G319" s="9" t="str">
        <f>_xlfn.XLOOKUP(F319, 'Control Panel'!$B$20:$B$26,'Control Panel'!$C$20:$C$26,"0")</f>
        <v>0</v>
      </c>
      <c r="H319">
        <v>0</v>
      </c>
      <c r="I319">
        <f t="shared" si="4"/>
        <v>0.8075</v>
      </c>
      <c r="J319">
        <f>MAX(300,SUM('Control Panel'!$B$1*I319))</f>
        <v>300</v>
      </c>
    </row>
    <row r="320" spans="1:10" x14ac:dyDescent="0.25">
      <c r="A320" s="5">
        <v>46330</v>
      </c>
      <c r="B320" s="7" t="s">
        <v>13</v>
      </c>
      <c r="C320" s="9" t="s">
        <v>14</v>
      </c>
      <c r="D320">
        <f>_xlfn.XLOOKUP(C320, 'Control Panel'!$B$4:$B$8,'Control Panel'!$C$4:$C$8,"0")</f>
        <v>0.85</v>
      </c>
      <c r="E320">
        <f>_xlfn.XLOOKUP(B320, 'Control Panel'!$B$11:$B$17,'Control Panel'!$C$11:$C$17,"0")</f>
        <v>0.95</v>
      </c>
      <c r="G320" s="9" t="str">
        <f>_xlfn.XLOOKUP(F320, 'Control Panel'!$B$20:$B$26,'Control Panel'!$C$20:$C$26,"0")</f>
        <v>0</v>
      </c>
      <c r="H320">
        <v>0</v>
      </c>
      <c r="I320">
        <f t="shared" si="4"/>
        <v>0.8075</v>
      </c>
      <c r="J320">
        <f>MAX(300,SUM('Control Panel'!$B$1*I320))</f>
        <v>300</v>
      </c>
    </row>
    <row r="321" spans="1:10" x14ac:dyDescent="0.25">
      <c r="A321" s="5">
        <v>46331</v>
      </c>
      <c r="B321" s="7" t="s">
        <v>5</v>
      </c>
      <c r="C321" s="9" t="s">
        <v>14</v>
      </c>
      <c r="D321">
        <f>_xlfn.XLOOKUP(C321, 'Control Panel'!$B$4:$B$8,'Control Panel'!$C$4:$C$8,"0")</f>
        <v>0.85</v>
      </c>
      <c r="E321">
        <f>_xlfn.XLOOKUP(B321, 'Control Panel'!$B$11:$B$17,'Control Panel'!$C$11:$C$17,"0")</f>
        <v>0.95</v>
      </c>
      <c r="G321" s="9" t="str">
        <f>_xlfn.XLOOKUP(F321, 'Control Panel'!$B$20:$B$26,'Control Panel'!$C$20:$C$26,"0")</f>
        <v>0</v>
      </c>
      <c r="H321">
        <v>0</v>
      </c>
      <c r="I321">
        <f t="shared" si="4"/>
        <v>0.8075</v>
      </c>
      <c r="J321">
        <f>MAX(300,SUM('Control Panel'!$B$1*I321))</f>
        <v>300</v>
      </c>
    </row>
    <row r="322" spans="1:10" x14ac:dyDescent="0.25">
      <c r="A322" s="5">
        <v>46332</v>
      </c>
      <c r="B322" s="7" t="s">
        <v>8</v>
      </c>
      <c r="C322" s="9" t="s">
        <v>14</v>
      </c>
      <c r="D322">
        <f>_xlfn.XLOOKUP(C322, 'Control Panel'!$B$4:$B$8,'Control Panel'!$C$4:$C$8,"0")</f>
        <v>0.85</v>
      </c>
      <c r="E322">
        <f>_xlfn.XLOOKUP(B322, 'Control Panel'!$B$11:$B$17,'Control Panel'!$C$11:$C$17,"0")</f>
        <v>1.1000000000000001</v>
      </c>
      <c r="G322" s="9" t="str">
        <f>_xlfn.XLOOKUP(F322, 'Control Panel'!$B$20:$B$26,'Control Panel'!$C$20:$C$26,"0")</f>
        <v>0</v>
      </c>
      <c r="H322">
        <v>0</v>
      </c>
      <c r="I322">
        <f t="shared" si="4"/>
        <v>0.93500000000000005</v>
      </c>
      <c r="J322">
        <f>MAX(300,SUM('Control Panel'!$B$1*I322))</f>
        <v>300</v>
      </c>
    </row>
    <row r="323" spans="1:10" x14ac:dyDescent="0.25">
      <c r="A323" s="5">
        <v>46333</v>
      </c>
      <c r="B323" s="7" t="s">
        <v>9</v>
      </c>
      <c r="C323" s="9" t="s">
        <v>14</v>
      </c>
      <c r="D323">
        <f>_xlfn.XLOOKUP(C323, 'Control Panel'!$B$4:$B$8,'Control Panel'!$C$4:$C$8,"0")</f>
        <v>0.85</v>
      </c>
      <c r="E323">
        <f>_xlfn.XLOOKUP(B323, 'Control Panel'!$B$11:$B$17,'Control Panel'!$C$11:$C$17,"0")</f>
        <v>1.25</v>
      </c>
      <c r="G323" s="9" t="str">
        <f>_xlfn.XLOOKUP(F323, 'Control Panel'!$B$20:$B$26,'Control Panel'!$C$20:$C$26,"0")</f>
        <v>0</v>
      </c>
      <c r="H323">
        <v>0</v>
      </c>
      <c r="I323">
        <f t="shared" si="4"/>
        <v>1.0625</v>
      </c>
      <c r="J323">
        <f>MAX(300,SUM('Control Panel'!$B$1*I323))</f>
        <v>318.75</v>
      </c>
    </row>
    <row r="324" spans="1:10" x14ac:dyDescent="0.25">
      <c r="A324" s="5">
        <v>46334</v>
      </c>
      <c r="B324" s="7" t="s">
        <v>10</v>
      </c>
      <c r="C324" s="9" t="s">
        <v>14</v>
      </c>
      <c r="D324">
        <f>_xlfn.XLOOKUP(C324, 'Control Panel'!$B$4:$B$8,'Control Panel'!$C$4:$C$8,"0")</f>
        <v>0.85</v>
      </c>
      <c r="E324">
        <f>_xlfn.XLOOKUP(B324, 'Control Panel'!$B$11:$B$17,'Control Panel'!$C$11:$C$17,"0")</f>
        <v>1.05</v>
      </c>
      <c r="G324" s="9" t="str">
        <f>_xlfn.XLOOKUP(F324, 'Control Panel'!$B$20:$B$26,'Control Panel'!$C$20:$C$26,"0")</f>
        <v>0</v>
      </c>
      <c r="H324">
        <v>0</v>
      </c>
      <c r="I324">
        <f t="shared" si="4"/>
        <v>0.89249999999999996</v>
      </c>
      <c r="J324">
        <f>MAX(300,SUM('Control Panel'!$B$1*I324))</f>
        <v>300</v>
      </c>
    </row>
    <row r="325" spans="1:10" s="18" customFormat="1" x14ac:dyDescent="0.25">
      <c r="A325" s="15">
        <v>46335</v>
      </c>
      <c r="B325" s="16" t="s">
        <v>11</v>
      </c>
      <c r="C325" s="17" t="s">
        <v>14</v>
      </c>
      <c r="D325">
        <f>_xlfn.XLOOKUP(C325, 'Control Panel'!$B$4:$B$8,'Control Panel'!$C$4:$C$8,"0")</f>
        <v>0.85</v>
      </c>
      <c r="E325">
        <f>_xlfn.XLOOKUP(B325, 'Control Panel'!$B$11:$B$17,'Control Panel'!$C$11:$C$17,"0")</f>
        <v>0.95</v>
      </c>
      <c r="G325" s="17" t="str">
        <f>_xlfn.XLOOKUP(F325, 'Control Panel'!$B$20:$B$26,'Control Panel'!$C$20:$C$26,"0")</f>
        <v>0</v>
      </c>
      <c r="H325" s="18">
        <v>0</v>
      </c>
      <c r="I325" s="18">
        <f t="shared" si="4"/>
        <v>0.8075</v>
      </c>
      <c r="J325" s="18">
        <f>MAX(300,SUM('Control Panel'!$B$1*I325))</f>
        <v>300</v>
      </c>
    </row>
    <row r="326" spans="1:10" s="18" customFormat="1" x14ac:dyDescent="0.25">
      <c r="A326" s="15">
        <v>46336</v>
      </c>
      <c r="B326" s="16" t="s">
        <v>12</v>
      </c>
      <c r="C326" s="17" t="s">
        <v>14</v>
      </c>
      <c r="D326">
        <f>_xlfn.XLOOKUP(C326, 'Control Panel'!$B$4:$B$8,'Control Panel'!$C$4:$C$8,"0")</f>
        <v>0.85</v>
      </c>
      <c r="E326">
        <f>_xlfn.XLOOKUP(B326, 'Control Panel'!$B$11:$B$17,'Control Panel'!$C$11:$C$17,"0")</f>
        <v>0.95</v>
      </c>
      <c r="G326" s="17" t="str">
        <f>_xlfn.XLOOKUP(F326, 'Control Panel'!$B$20:$B$26,'Control Panel'!$C$20:$C$26,"0")</f>
        <v>0</v>
      </c>
      <c r="H326" s="18">
        <v>0</v>
      </c>
      <c r="I326" s="18">
        <f t="shared" si="4"/>
        <v>0.8075</v>
      </c>
      <c r="J326" s="18">
        <f>MAX(300,SUM('Control Panel'!$B$1*I326))</f>
        <v>300</v>
      </c>
    </row>
    <row r="327" spans="1:10" s="18" customFormat="1" x14ac:dyDescent="0.25">
      <c r="A327" s="15">
        <v>46337</v>
      </c>
      <c r="B327" s="16" t="s">
        <v>13</v>
      </c>
      <c r="C327" s="17" t="s">
        <v>14</v>
      </c>
      <c r="D327">
        <f>_xlfn.XLOOKUP(C327, 'Control Panel'!$B$4:$B$8,'Control Panel'!$C$4:$C$8,"0")</f>
        <v>0.85</v>
      </c>
      <c r="E327">
        <f>_xlfn.XLOOKUP(B327, 'Control Panel'!$B$11:$B$17,'Control Panel'!$C$11:$C$17,"0")</f>
        <v>0.95</v>
      </c>
      <c r="G327" s="17" t="str">
        <f>_xlfn.XLOOKUP(F327, 'Control Panel'!$B$20:$B$26,'Control Panel'!$C$20:$C$26,"0")</f>
        <v>0</v>
      </c>
      <c r="H327" s="18">
        <v>0</v>
      </c>
      <c r="I327" s="18">
        <f t="shared" si="4"/>
        <v>0.8075</v>
      </c>
      <c r="J327" s="18">
        <f>MAX(300,SUM('Control Panel'!$B$1*I327))</f>
        <v>300</v>
      </c>
    </row>
    <row r="328" spans="1:10" s="18" customFormat="1" x14ac:dyDescent="0.25">
      <c r="A328" s="15">
        <v>46338</v>
      </c>
      <c r="B328" s="16" t="s">
        <v>5</v>
      </c>
      <c r="C328" s="17" t="s">
        <v>14</v>
      </c>
      <c r="D328">
        <f>_xlfn.XLOOKUP(C328, 'Control Panel'!$B$4:$B$8,'Control Panel'!$C$4:$C$8,"0")</f>
        <v>0.85</v>
      </c>
      <c r="E328">
        <f>_xlfn.XLOOKUP(B328, 'Control Panel'!$B$11:$B$17,'Control Panel'!$C$11:$C$17,"0")</f>
        <v>0.95</v>
      </c>
      <c r="G328" s="17" t="str">
        <f>_xlfn.XLOOKUP(F328, 'Control Panel'!$B$20:$B$26,'Control Panel'!$C$20:$C$26,"0")</f>
        <v>0</v>
      </c>
      <c r="H328" s="18">
        <v>0</v>
      </c>
      <c r="I328" s="18">
        <f t="shared" si="4"/>
        <v>0.8075</v>
      </c>
      <c r="J328" s="18">
        <f>MAX(300,SUM('Control Panel'!$B$1*I328))</f>
        <v>300</v>
      </c>
    </row>
    <row r="329" spans="1:10" s="18" customFormat="1" x14ac:dyDescent="0.25">
      <c r="A329" s="15">
        <v>46339</v>
      </c>
      <c r="B329" s="16" t="s">
        <v>8</v>
      </c>
      <c r="C329" s="17" t="s">
        <v>14</v>
      </c>
      <c r="D329">
        <f>_xlfn.XLOOKUP(C329, 'Control Panel'!$B$4:$B$8,'Control Panel'!$C$4:$C$8,"0")</f>
        <v>0.85</v>
      </c>
      <c r="E329">
        <f>_xlfn.XLOOKUP(B329, 'Control Panel'!$B$11:$B$17,'Control Panel'!$C$11:$C$17,"0")</f>
        <v>1.1000000000000001</v>
      </c>
      <c r="G329" s="17" t="str">
        <f>_xlfn.XLOOKUP(F329, 'Control Panel'!$B$20:$B$26,'Control Panel'!$C$20:$C$26,"0")</f>
        <v>0</v>
      </c>
      <c r="H329" s="18">
        <v>0</v>
      </c>
      <c r="I329" s="18">
        <f t="shared" si="4"/>
        <v>0.93500000000000005</v>
      </c>
      <c r="J329" s="18">
        <f>MAX(300,SUM('Control Panel'!$B$1*I329))</f>
        <v>300</v>
      </c>
    </row>
    <row r="330" spans="1:10" s="18" customFormat="1" x14ac:dyDescent="0.25">
      <c r="A330" s="15">
        <v>46340</v>
      </c>
      <c r="B330" s="16" t="s">
        <v>9</v>
      </c>
      <c r="C330" s="17" t="s">
        <v>14</v>
      </c>
      <c r="D330">
        <f>_xlfn.XLOOKUP(C330, 'Control Panel'!$B$4:$B$8,'Control Panel'!$C$4:$C$8,"0")</f>
        <v>0.85</v>
      </c>
      <c r="E330">
        <f>_xlfn.XLOOKUP(B330, 'Control Panel'!$B$11:$B$17,'Control Panel'!$C$11:$C$17,"0")</f>
        <v>1.25</v>
      </c>
      <c r="G330" s="17" t="str">
        <f>_xlfn.XLOOKUP(F330, 'Control Panel'!$B$20:$B$26,'Control Panel'!$C$20:$C$26,"0")</f>
        <v>0</v>
      </c>
      <c r="H330" s="18">
        <v>0</v>
      </c>
      <c r="I330" s="18">
        <f t="shared" si="4"/>
        <v>1.0625</v>
      </c>
      <c r="J330" s="18">
        <f>MAX(300,SUM('Control Panel'!$B$1*I330))</f>
        <v>318.75</v>
      </c>
    </row>
    <row r="331" spans="1:10" s="18" customFormat="1" x14ac:dyDescent="0.25">
      <c r="A331" s="15">
        <v>46341</v>
      </c>
      <c r="B331" s="16" t="s">
        <v>10</v>
      </c>
      <c r="C331" s="17" t="s">
        <v>14</v>
      </c>
      <c r="D331">
        <f>_xlfn.XLOOKUP(C331, 'Control Panel'!$B$4:$B$8,'Control Panel'!$C$4:$C$8,"0")</f>
        <v>0.85</v>
      </c>
      <c r="E331">
        <f>_xlfn.XLOOKUP(B331, 'Control Panel'!$B$11:$B$17,'Control Panel'!$C$11:$C$17,"0")</f>
        <v>1.05</v>
      </c>
      <c r="G331" s="17" t="str">
        <f>_xlfn.XLOOKUP(F331, 'Control Panel'!$B$20:$B$26,'Control Panel'!$C$20:$C$26,"0")</f>
        <v>0</v>
      </c>
      <c r="H331" s="18">
        <v>0</v>
      </c>
      <c r="I331" s="18">
        <f t="shared" si="4"/>
        <v>0.89249999999999996</v>
      </c>
      <c r="J331" s="18">
        <f>MAX(300,SUM('Control Panel'!$B$1*I331))</f>
        <v>300</v>
      </c>
    </row>
    <row r="332" spans="1:10" x14ac:dyDescent="0.25">
      <c r="A332" s="5">
        <v>46342</v>
      </c>
      <c r="B332" s="7" t="s">
        <v>11</v>
      </c>
      <c r="C332" s="9" t="s">
        <v>14</v>
      </c>
      <c r="D332">
        <f>_xlfn.XLOOKUP(C332, 'Control Panel'!$B$4:$B$8,'Control Panel'!$C$4:$C$8,"0")</f>
        <v>0.85</v>
      </c>
      <c r="E332">
        <f>_xlfn.XLOOKUP(B332, 'Control Panel'!$B$11:$B$17,'Control Panel'!$C$11:$C$17,"0")</f>
        <v>0.95</v>
      </c>
      <c r="G332" s="9" t="str">
        <f>_xlfn.XLOOKUP(F332, 'Control Panel'!$B$20:$B$26,'Control Panel'!$C$20:$C$26,"0")</f>
        <v>0</v>
      </c>
      <c r="H332">
        <v>0</v>
      </c>
      <c r="I332">
        <f t="shared" si="4"/>
        <v>0.8075</v>
      </c>
      <c r="J332">
        <f>MAX(300,SUM('Control Panel'!$B$1*I332))</f>
        <v>300</v>
      </c>
    </row>
    <row r="333" spans="1:10" x14ac:dyDescent="0.25">
      <c r="A333" s="5">
        <v>46343</v>
      </c>
      <c r="B333" s="7" t="s">
        <v>12</v>
      </c>
      <c r="C333" s="9" t="s">
        <v>14</v>
      </c>
      <c r="D333">
        <f>_xlfn.XLOOKUP(C333, 'Control Panel'!$B$4:$B$8,'Control Panel'!$C$4:$C$8,"0")</f>
        <v>0.85</v>
      </c>
      <c r="E333">
        <f>_xlfn.XLOOKUP(B333, 'Control Panel'!$B$11:$B$17,'Control Panel'!$C$11:$C$17,"0")</f>
        <v>0.95</v>
      </c>
      <c r="G333" s="9" t="str">
        <f>_xlfn.XLOOKUP(F333, 'Control Panel'!$B$20:$B$26,'Control Panel'!$C$20:$C$26,"0")</f>
        <v>0</v>
      </c>
      <c r="H333">
        <v>0</v>
      </c>
      <c r="I333">
        <f t="shared" si="4"/>
        <v>0.8075</v>
      </c>
      <c r="J333">
        <f>MAX(300,SUM('Control Panel'!$B$1*I333))</f>
        <v>300</v>
      </c>
    </row>
    <row r="334" spans="1:10" x14ac:dyDescent="0.25">
      <c r="A334" s="5">
        <v>46344</v>
      </c>
      <c r="B334" s="7" t="s">
        <v>13</v>
      </c>
      <c r="C334" s="9" t="s">
        <v>14</v>
      </c>
      <c r="D334">
        <f>_xlfn.XLOOKUP(C334, 'Control Panel'!$B$4:$B$8,'Control Panel'!$C$4:$C$8,"0")</f>
        <v>0.85</v>
      </c>
      <c r="E334">
        <f>_xlfn.XLOOKUP(B334, 'Control Panel'!$B$11:$B$17,'Control Panel'!$C$11:$C$17,"0")</f>
        <v>0.95</v>
      </c>
      <c r="G334" s="9" t="str">
        <f>_xlfn.XLOOKUP(F334, 'Control Panel'!$B$20:$B$26,'Control Panel'!$C$20:$C$26,"0")</f>
        <v>0</v>
      </c>
      <c r="H334">
        <v>0</v>
      </c>
      <c r="I334">
        <f t="shared" si="4"/>
        <v>0.8075</v>
      </c>
      <c r="J334">
        <f>MAX(300,SUM('Control Panel'!$B$1*I334))</f>
        <v>300</v>
      </c>
    </row>
    <row r="335" spans="1:10" x14ac:dyDescent="0.25">
      <c r="A335" s="5">
        <v>46345</v>
      </c>
      <c r="B335" s="7" t="s">
        <v>5</v>
      </c>
      <c r="C335" s="9" t="s">
        <v>14</v>
      </c>
      <c r="D335">
        <f>_xlfn.XLOOKUP(C335, 'Control Panel'!$B$4:$B$8,'Control Panel'!$C$4:$C$8,"0")</f>
        <v>0.85</v>
      </c>
      <c r="E335">
        <f>_xlfn.XLOOKUP(B335, 'Control Panel'!$B$11:$B$17,'Control Panel'!$C$11:$C$17,"0")</f>
        <v>0.95</v>
      </c>
      <c r="G335" s="9" t="str">
        <f>_xlfn.XLOOKUP(F335, 'Control Panel'!$B$20:$B$26,'Control Panel'!$C$20:$C$26,"0")</f>
        <v>0</v>
      </c>
      <c r="H335">
        <v>0</v>
      </c>
      <c r="I335">
        <f t="shared" ref="I335:I400" si="5">(D335*E335)+G335+H335</f>
        <v>0.8075</v>
      </c>
      <c r="J335">
        <f>MAX(300,SUM('Control Panel'!$B$1*I335))</f>
        <v>300</v>
      </c>
    </row>
    <row r="336" spans="1:10" x14ac:dyDescent="0.25">
      <c r="A336" s="5">
        <v>46346</v>
      </c>
      <c r="B336" s="7" t="s">
        <v>8</v>
      </c>
      <c r="C336" s="9" t="s">
        <v>14</v>
      </c>
      <c r="D336">
        <f>_xlfn.XLOOKUP(C336, 'Control Panel'!$B$4:$B$8,'Control Panel'!$C$4:$C$8,"0")</f>
        <v>0.85</v>
      </c>
      <c r="E336">
        <f>_xlfn.XLOOKUP(B336, 'Control Panel'!$B$11:$B$17,'Control Panel'!$C$11:$C$17,"0")</f>
        <v>1.1000000000000001</v>
      </c>
      <c r="G336" s="9" t="str">
        <f>_xlfn.XLOOKUP(F336, 'Control Panel'!$B$20:$B$26,'Control Panel'!$C$20:$C$26,"0")</f>
        <v>0</v>
      </c>
      <c r="H336">
        <v>0</v>
      </c>
      <c r="I336">
        <f t="shared" si="5"/>
        <v>0.93500000000000005</v>
      </c>
      <c r="J336">
        <f>MAX(300,SUM('Control Panel'!$B$1*I336))</f>
        <v>300</v>
      </c>
    </row>
    <row r="337" spans="1:10" x14ac:dyDescent="0.25">
      <c r="A337" s="5">
        <v>46347</v>
      </c>
      <c r="B337" s="7" t="s">
        <v>9</v>
      </c>
      <c r="C337" s="9" t="s">
        <v>14</v>
      </c>
      <c r="D337">
        <f>_xlfn.XLOOKUP(C337, 'Control Panel'!$B$4:$B$8,'Control Panel'!$C$4:$C$8,"0")</f>
        <v>0.85</v>
      </c>
      <c r="E337">
        <f>_xlfn.XLOOKUP(B337, 'Control Panel'!$B$11:$B$17,'Control Panel'!$C$11:$C$17,"0")</f>
        <v>1.25</v>
      </c>
      <c r="G337" s="9" t="str">
        <f>_xlfn.XLOOKUP(F337, 'Control Panel'!$B$20:$B$26,'Control Panel'!$C$20:$C$26,"0")</f>
        <v>0</v>
      </c>
      <c r="H337">
        <v>0</v>
      </c>
      <c r="I337">
        <f t="shared" si="5"/>
        <v>1.0625</v>
      </c>
      <c r="J337">
        <f>MAX(300,SUM('Control Panel'!$B$1*I337))</f>
        <v>318.75</v>
      </c>
    </row>
    <row r="338" spans="1:10" x14ac:dyDescent="0.25">
      <c r="A338" s="5">
        <v>46348</v>
      </c>
      <c r="B338" s="7" t="s">
        <v>10</v>
      </c>
      <c r="C338" s="9" t="s">
        <v>14</v>
      </c>
      <c r="D338">
        <f>_xlfn.XLOOKUP(C338, 'Control Panel'!$B$4:$B$8,'Control Panel'!$C$4:$C$8,"0")</f>
        <v>0.85</v>
      </c>
      <c r="E338">
        <f>_xlfn.XLOOKUP(B338, 'Control Panel'!$B$11:$B$17,'Control Panel'!$C$11:$C$17,"0")</f>
        <v>1.05</v>
      </c>
      <c r="G338" s="9" t="str">
        <f>_xlfn.XLOOKUP(F338, 'Control Panel'!$B$20:$B$26,'Control Panel'!$C$20:$C$26,"0")</f>
        <v>0</v>
      </c>
      <c r="H338">
        <v>0</v>
      </c>
      <c r="I338">
        <f t="shared" si="5"/>
        <v>0.89249999999999996</v>
      </c>
      <c r="J338">
        <f>MAX(300,SUM('Control Panel'!$B$1*I338))</f>
        <v>300</v>
      </c>
    </row>
    <row r="339" spans="1:10" s="18" customFormat="1" x14ac:dyDescent="0.25">
      <c r="A339" s="15">
        <v>46349</v>
      </c>
      <c r="B339" s="16" t="s">
        <v>11</v>
      </c>
      <c r="C339" s="17" t="s">
        <v>14</v>
      </c>
      <c r="D339">
        <f>_xlfn.XLOOKUP(C339, 'Control Panel'!$B$4:$B$8,'Control Panel'!$C$4:$C$8,"0")</f>
        <v>0.85</v>
      </c>
      <c r="E339">
        <f>_xlfn.XLOOKUP(B339, 'Control Panel'!$B$11:$B$17,'Control Panel'!$C$11:$C$17,"0")</f>
        <v>0.95</v>
      </c>
      <c r="G339" s="17" t="str">
        <f>_xlfn.XLOOKUP(F339, 'Control Panel'!$B$20:$B$26,'Control Panel'!$C$20:$C$26,"0")</f>
        <v>0</v>
      </c>
      <c r="H339" s="18">
        <v>0</v>
      </c>
      <c r="I339" s="18">
        <f t="shared" si="5"/>
        <v>0.8075</v>
      </c>
      <c r="J339" s="18">
        <f>MAX(300,SUM('Control Panel'!$B$1*I339))</f>
        <v>300</v>
      </c>
    </row>
    <row r="340" spans="1:10" s="18" customFormat="1" x14ac:dyDescent="0.25">
      <c r="A340" s="15">
        <v>46350</v>
      </c>
      <c r="B340" s="16" t="s">
        <v>12</v>
      </c>
      <c r="C340" s="17" t="s">
        <v>14</v>
      </c>
      <c r="D340">
        <f>_xlfn.XLOOKUP(C340, 'Control Panel'!$B$4:$B$8,'Control Panel'!$C$4:$C$8,"0")</f>
        <v>0.85</v>
      </c>
      <c r="E340">
        <f>_xlfn.XLOOKUP(B340, 'Control Panel'!$B$11:$B$17,'Control Panel'!$C$11:$C$17,"0")</f>
        <v>0.95</v>
      </c>
      <c r="G340" s="17" t="str">
        <f>_xlfn.XLOOKUP(F340, 'Control Panel'!$B$20:$B$26,'Control Panel'!$C$20:$C$26,"0")</f>
        <v>0</v>
      </c>
      <c r="H340" s="18">
        <v>0</v>
      </c>
      <c r="I340" s="18">
        <f t="shared" si="5"/>
        <v>0.8075</v>
      </c>
      <c r="J340" s="18">
        <f>MAX(300,SUM('Control Panel'!$B$1*I340))</f>
        <v>300</v>
      </c>
    </row>
    <row r="341" spans="1:10" s="18" customFormat="1" x14ac:dyDescent="0.25">
      <c r="A341" s="15">
        <v>46351</v>
      </c>
      <c r="B341" s="16" t="s">
        <v>13</v>
      </c>
      <c r="C341" s="17" t="s">
        <v>14</v>
      </c>
      <c r="D341">
        <f>_xlfn.XLOOKUP(C341, 'Control Panel'!$B$4:$B$8,'Control Panel'!$C$4:$C$8,"0")</f>
        <v>0.85</v>
      </c>
      <c r="E341">
        <f>_xlfn.XLOOKUP(B341, 'Control Panel'!$B$11:$B$17,'Control Panel'!$C$11:$C$17,"0")</f>
        <v>0.95</v>
      </c>
      <c r="G341" s="17" t="str">
        <f>_xlfn.XLOOKUP(F341, 'Control Panel'!$B$20:$B$26,'Control Panel'!$C$20:$C$26,"0")</f>
        <v>0</v>
      </c>
      <c r="H341" s="18">
        <v>0</v>
      </c>
      <c r="I341" s="18">
        <f t="shared" si="5"/>
        <v>0.8075</v>
      </c>
      <c r="J341" s="18">
        <f>MAX(300,SUM('Control Panel'!$B$1*I341))</f>
        <v>300</v>
      </c>
    </row>
    <row r="342" spans="1:10" s="18" customFormat="1" x14ac:dyDescent="0.25">
      <c r="A342" s="15">
        <v>46352</v>
      </c>
      <c r="B342" s="16" t="s">
        <v>5</v>
      </c>
      <c r="C342" s="17" t="s">
        <v>14</v>
      </c>
      <c r="D342">
        <f>_xlfn.XLOOKUP(C342, 'Control Panel'!$B$4:$B$8,'Control Panel'!$C$4:$C$8,"0")</f>
        <v>0.85</v>
      </c>
      <c r="E342">
        <f>_xlfn.XLOOKUP(B342, 'Control Panel'!$B$11:$B$17,'Control Panel'!$C$11:$C$17,"0")</f>
        <v>0.95</v>
      </c>
      <c r="G342" s="17" t="str">
        <f>_xlfn.XLOOKUP(F342, 'Control Panel'!$B$20:$B$26,'Control Panel'!$C$20:$C$26,"0")</f>
        <v>0</v>
      </c>
      <c r="H342" s="18">
        <v>0</v>
      </c>
      <c r="I342" s="18">
        <f t="shared" si="5"/>
        <v>0.8075</v>
      </c>
      <c r="J342" s="18">
        <f>MAX(300,SUM('Control Panel'!$B$1*I342))</f>
        <v>300</v>
      </c>
    </row>
    <row r="343" spans="1:10" s="18" customFormat="1" x14ac:dyDescent="0.25">
      <c r="A343" s="15">
        <v>46353</v>
      </c>
      <c r="B343" s="16" t="s">
        <v>8</v>
      </c>
      <c r="C343" s="17" t="s">
        <v>14</v>
      </c>
      <c r="D343">
        <f>_xlfn.XLOOKUP(C343, 'Control Panel'!$B$4:$B$8,'Control Panel'!$C$4:$C$8,"0")</f>
        <v>0.85</v>
      </c>
      <c r="E343">
        <f>_xlfn.XLOOKUP(B343, 'Control Panel'!$B$11:$B$17,'Control Panel'!$C$11:$C$17,"0")</f>
        <v>1.1000000000000001</v>
      </c>
      <c r="G343" s="17" t="str">
        <f>_xlfn.XLOOKUP(F343, 'Control Panel'!$B$20:$B$26,'Control Panel'!$C$20:$C$26,"0")</f>
        <v>0</v>
      </c>
      <c r="H343" s="18">
        <v>0</v>
      </c>
      <c r="I343" s="18">
        <f t="shared" si="5"/>
        <v>0.93500000000000005</v>
      </c>
      <c r="J343" s="18">
        <f>MAX(300,SUM('Control Panel'!$B$1*I343))</f>
        <v>300</v>
      </c>
    </row>
    <row r="344" spans="1:10" s="18" customFormat="1" x14ac:dyDescent="0.25">
      <c r="A344" s="15">
        <v>46354</v>
      </c>
      <c r="B344" s="16" t="s">
        <v>9</v>
      </c>
      <c r="C344" s="17" t="s">
        <v>14</v>
      </c>
      <c r="D344">
        <f>_xlfn.XLOOKUP(C344, 'Control Panel'!$B$4:$B$8,'Control Panel'!$C$4:$C$8,"0")</f>
        <v>0.85</v>
      </c>
      <c r="E344">
        <f>_xlfn.XLOOKUP(B344, 'Control Panel'!$B$11:$B$17,'Control Panel'!$C$11:$C$17,"0")</f>
        <v>1.25</v>
      </c>
      <c r="G344" s="17" t="str">
        <f>_xlfn.XLOOKUP(F344, 'Control Panel'!$B$20:$B$26,'Control Panel'!$C$20:$C$26,"0")</f>
        <v>0</v>
      </c>
      <c r="H344" s="18">
        <v>0</v>
      </c>
      <c r="I344" s="18">
        <f t="shared" si="5"/>
        <v>1.0625</v>
      </c>
      <c r="J344" s="18">
        <f>MAX(300,SUM('Control Panel'!$B$1*I344))</f>
        <v>318.75</v>
      </c>
    </row>
    <row r="345" spans="1:10" s="18" customFormat="1" x14ac:dyDescent="0.25">
      <c r="A345" s="15">
        <v>46355</v>
      </c>
      <c r="B345" s="16" t="s">
        <v>10</v>
      </c>
      <c r="C345" s="17" t="s">
        <v>14</v>
      </c>
      <c r="D345">
        <f>_xlfn.XLOOKUP(C345, 'Control Panel'!$B$4:$B$8,'Control Panel'!$C$4:$C$8,"0")</f>
        <v>0.85</v>
      </c>
      <c r="E345">
        <f>_xlfn.XLOOKUP(B345, 'Control Panel'!$B$11:$B$17,'Control Panel'!$C$11:$C$17,"0")</f>
        <v>1.05</v>
      </c>
      <c r="G345" s="17" t="str">
        <f>_xlfn.XLOOKUP(F345, 'Control Panel'!$B$20:$B$26,'Control Panel'!$C$20:$C$26,"0")</f>
        <v>0</v>
      </c>
      <c r="H345" s="18">
        <v>0</v>
      </c>
      <c r="I345" s="18">
        <f t="shared" si="5"/>
        <v>0.89249999999999996</v>
      </c>
      <c r="J345" s="18">
        <f>MAX(300,SUM('Control Panel'!$B$1*I345))</f>
        <v>300</v>
      </c>
    </row>
    <row r="346" spans="1:10" x14ac:dyDescent="0.25">
      <c r="A346" s="5">
        <v>46356</v>
      </c>
      <c r="B346" s="7" t="s">
        <v>11</v>
      </c>
      <c r="C346" s="9" t="s">
        <v>14</v>
      </c>
      <c r="D346">
        <f>_xlfn.XLOOKUP(C346, 'Control Panel'!$B$4:$B$8,'Control Panel'!$C$4:$C$8,"0")</f>
        <v>0.85</v>
      </c>
      <c r="E346">
        <f>_xlfn.XLOOKUP(B346, 'Control Panel'!$B$11:$B$17,'Control Panel'!$C$11:$C$17,"0")</f>
        <v>0.95</v>
      </c>
      <c r="G346" s="9" t="str">
        <f>_xlfn.XLOOKUP(F346, 'Control Panel'!$B$20:$B$26,'Control Panel'!$C$20:$C$26,"0")</f>
        <v>0</v>
      </c>
      <c r="H346">
        <v>0</v>
      </c>
      <c r="I346">
        <f t="shared" si="5"/>
        <v>0.8075</v>
      </c>
      <c r="J346">
        <f>MAX(300,SUM('Control Panel'!$B$1*I346))</f>
        <v>300</v>
      </c>
    </row>
    <row r="347" spans="1:10" x14ac:dyDescent="0.25">
      <c r="A347" s="10" t="s">
        <v>43</v>
      </c>
      <c r="B347" s="13"/>
      <c r="C347" s="14"/>
      <c r="G347" s="9" t="str">
        <f>_xlfn.XLOOKUP(F347, 'Control Panel'!$B$20:$B$26,'Control Panel'!$C$20:$C$26,"0")</f>
        <v>0</v>
      </c>
    </row>
    <row r="348" spans="1:10" x14ac:dyDescent="0.25">
      <c r="A348" s="5">
        <v>46357</v>
      </c>
      <c r="B348" s="7" t="s">
        <v>12</v>
      </c>
      <c r="C348" s="9" t="s">
        <v>14</v>
      </c>
      <c r="D348">
        <f>_xlfn.XLOOKUP(C348, 'Control Panel'!$B$4:$B$8,'Control Panel'!$C$4:$C$8,"0")</f>
        <v>0.85</v>
      </c>
      <c r="E348">
        <f>_xlfn.XLOOKUP(B348, 'Control Panel'!$B$11:$B$17,'Control Panel'!$C$11:$C$17,"0")</f>
        <v>0.95</v>
      </c>
      <c r="G348" s="9" t="str">
        <f>_xlfn.XLOOKUP(F348, 'Control Panel'!$B$20:$B$26,'Control Panel'!$C$20:$C$26,"0")</f>
        <v>0</v>
      </c>
      <c r="H348">
        <v>0</v>
      </c>
      <c r="I348">
        <f t="shared" si="5"/>
        <v>0.8075</v>
      </c>
      <c r="J348">
        <f>MAX(300,SUM('Control Panel'!$B$1*I348))</f>
        <v>300</v>
      </c>
    </row>
    <row r="349" spans="1:10" x14ac:dyDescent="0.25">
      <c r="A349" s="5">
        <v>46358</v>
      </c>
      <c r="B349" s="7" t="s">
        <v>13</v>
      </c>
      <c r="C349" s="9" t="s">
        <v>14</v>
      </c>
      <c r="D349">
        <f>_xlfn.XLOOKUP(C349, 'Control Panel'!$B$4:$B$8,'Control Panel'!$C$4:$C$8,"0")</f>
        <v>0.85</v>
      </c>
      <c r="E349">
        <f>_xlfn.XLOOKUP(B349, 'Control Panel'!$B$11:$B$17,'Control Panel'!$C$11:$C$17,"0")</f>
        <v>0.95</v>
      </c>
      <c r="G349" s="9" t="str">
        <f>_xlfn.XLOOKUP(F349, 'Control Panel'!$B$20:$B$26,'Control Panel'!$C$20:$C$26,"0")</f>
        <v>0</v>
      </c>
      <c r="H349">
        <v>0</v>
      </c>
      <c r="I349">
        <f t="shared" si="5"/>
        <v>0.8075</v>
      </c>
      <c r="J349">
        <f>MAX(300,SUM('Control Panel'!$B$1*I349))</f>
        <v>300</v>
      </c>
    </row>
    <row r="350" spans="1:10" x14ac:dyDescent="0.25">
      <c r="A350" s="5">
        <v>46359</v>
      </c>
      <c r="B350" s="7" t="s">
        <v>5</v>
      </c>
      <c r="C350" s="9" t="s">
        <v>14</v>
      </c>
      <c r="D350">
        <f>_xlfn.XLOOKUP(C350, 'Control Panel'!$B$4:$B$8,'Control Panel'!$C$4:$C$8,"0")</f>
        <v>0.85</v>
      </c>
      <c r="E350">
        <f>_xlfn.XLOOKUP(B350, 'Control Panel'!$B$11:$B$17,'Control Panel'!$C$11:$C$17,"0")</f>
        <v>0.95</v>
      </c>
      <c r="G350" s="9" t="str">
        <f>_xlfn.XLOOKUP(F350, 'Control Panel'!$B$20:$B$26,'Control Panel'!$C$20:$C$26,"0")</f>
        <v>0</v>
      </c>
      <c r="H350">
        <v>0</v>
      </c>
      <c r="I350">
        <f t="shared" si="5"/>
        <v>0.8075</v>
      </c>
      <c r="J350">
        <f>MAX(300,SUM('Control Panel'!$B$1*I350))</f>
        <v>300</v>
      </c>
    </row>
    <row r="351" spans="1:10" x14ac:dyDescent="0.25">
      <c r="A351" s="5">
        <v>46360</v>
      </c>
      <c r="B351" s="7" t="s">
        <v>8</v>
      </c>
      <c r="C351" s="9" t="s">
        <v>14</v>
      </c>
      <c r="D351">
        <f>_xlfn.XLOOKUP(C351, 'Control Panel'!$B$4:$B$8,'Control Panel'!$C$4:$C$8,"0")</f>
        <v>0.85</v>
      </c>
      <c r="E351">
        <f>_xlfn.XLOOKUP(B351, 'Control Panel'!$B$11:$B$17,'Control Panel'!$C$11:$C$17,"0")</f>
        <v>1.1000000000000001</v>
      </c>
      <c r="G351" s="9" t="str">
        <f>_xlfn.XLOOKUP(F351, 'Control Panel'!$B$20:$B$26,'Control Panel'!$C$20:$C$26,"0")</f>
        <v>0</v>
      </c>
      <c r="H351">
        <v>0</v>
      </c>
      <c r="I351">
        <f t="shared" si="5"/>
        <v>0.93500000000000005</v>
      </c>
      <c r="J351">
        <f>MAX(300,SUM('Control Panel'!$B$1*I351))</f>
        <v>300</v>
      </c>
    </row>
    <row r="352" spans="1:10" x14ac:dyDescent="0.25">
      <c r="A352" s="5">
        <v>46361</v>
      </c>
      <c r="B352" s="7" t="s">
        <v>9</v>
      </c>
      <c r="C352" s="9" t="s">
        <v>14</v>
      </c>
      <c r="D352">
        <f>_xlfn.XLOOKUP(C352, 'Control Panel'!$B$4:$B$8,'Control Panel'!$C$4:$C$8,"0")</f>
        <v>0.85</v>
      </c>
      <c r="E352">
        <f>_xlfn.XLOOKUP(B352, 'Control Panel'!$B$11:$B$17,'Control Panel'!$C$11:$C$17,"0")</f>
        <v>1.25</v>
      </c>
      <c r="G352" s="9" t="str">
        <f>_xlfn.XLOOKUP(F352, 'Control Panel'!$B$20:$B$26,'Control Panel'!$C$20:$C$26,"0")</f>
        <v>0</v>
      </c>
      <c r="H352">
        <v>0</v>
      </c>
      <c r="I352">
        <f t="shared" si="5"/>
        <v>1.0625</v>
      </c>
      <c r="J352">
        <f>MAX(300,SUM('Control Panel'!$B$1*I352))</f>
        <v>318.75</v>
      </c>
    </row>
    <row r="353" spans="1:10" x14ac:dyDescent="0.25">
      <c r="A353" s="5">
        <v>46362</v>
      </c>
      <c r="B353" s="7" t="s">
        <v>10</v>
      </c>
      <c r="C353" s="9" t="s">
        <v>14</v>
      </c>
      <c r="D353">
        <f>_xlfn.XLOOKUP(C353, 'Control Panel'!$B$4:$B$8,'Control Panel'!$C$4:$C$8,"0")</f>
        <v>0.85</v>
      </c>
      <c r="E353">
        <f>_xlfn.XLOOKUP(B353, 'Control Panel'!$B$11:$B$17,'Control Panel'!$C$11:$C$17,"0")</f>
        <v>1.05</v>
      </c>
      <c r="G353" s="9" t="str">
        <f>_xlfn.XLOOKUP(F353, 'Control Panel'!$B$20:$B$26,'Control Panel'!$C$20:$C$26,"0")</f>
        <v>0</v>
      </c>
      <c r="H353">
        <v>0</v>
      </c>
      <c r="I353">
        <f t="shared" si="5"/>
        <v>0.89249999999999996</v>
      </c>
      <c r="J353">
        <f>MAX(300,SUM('Control Panel'!$B$1*I353))</f>
        <v>300</v>
      </c>
    </row>
    <row r="354" spans="1:10" s="18" customFormat="1" x14ac:dyDescent="0.25">
      <c r="A354" s="15">
        <v>46363</v>
      </c>
      <c r="B354" s="16" t="s">
        <v>11</v>
      </c>
      <c r="C354" s="17" t="s">
        <v>14</v>
      </c>
      <c r="D354">
        <f>_xlfn.XLOOKUP(C354, 'Control Panel'!$B$4:$B$8,'Control Panel'!$C$4:$C$8,"0")</f>
        <v>0.85</v>
      </c>
      <c r="E354">
        <f>_xlfn.XLOOKUP(B354, 'Control Panel'!$B$11:$B$17,'Control Panel'!$C$11:$C$17,"0")</f>
        <v>0.95</v>
      </c>
      <c r="G354" s="17" t="str">
        <f>_xlfn.XLOOKUP(F354, 'Control Panel'!$B$20:$B$26,'Control Panel'!$C$20:$C$26,"0")</f>
        <v>0</v>
      </c>
      <c r="H354" s="18">
        <v>0</v>
      </c>
      <c r="I354" s="18">
        <f t="shared" si="5"/>
        <v>0.8075</v>
      </c>
      <c r="J354" s="18">
        <f>MAX(300,SUM('Control Panel'!$B$1*I354))</f>
        <v>300</v>
      </c>
    </row>
    <row r="355" spans="1:10" s="18" customFormat="1" x14ac:dyDescent="0.25">
      <c r="A355" s="15">
        <v>46364</v>
      </c>
      <c r="B355" s="16" t="s">
        <v>12</v>
      </c>
      <c r="C355" s="17" t="s">
        <v>14</v>
      </c>
      <c r="D355">
        <f>_xlfn.XLOOKUP(C355, 'Control Panel'!$B$4:$B$8,'Control Panel'!$C$4:$C$8,"0")</f>
        <v>0.85</v>
      </c>
      <c r="E355">
        <f>_xlfn.XLOOKUP(B355, 'Control Panel'!$B$11:$B$17,'Control Panel'!$C$11:$C$17,"0")</f>
        <v>0.95</v>
      </c>
      <c r="G355" s="17" t="str">
        <f>_xlfn.XLOOKUP(F355, 'Control Panel'!$B$20:$B$26,'Control Panel'!$C$20:$C$26,"0")</f>
        <v>0</v>
      </c>
      <c r="H355" s="18">
        <v>0</v>
      </c>
      <c r="I355" s="18">
        <f t="shared" si="5"/>
        <v>0.8075</v>
      </c>
      <c r="J355" s="18">
        <f>MAX(300,SUM('Control Panel'!$B$1*I355))</f>
        <v>300</v>
      </c>
    </row>
    <row r="356" spans="1:10" s="18" customFormat="1" x14ac:dyDescent="0.25">
      <c r="A356" s="15">
        <v>46365</v>
      </c>
      <c r="B356" s="16" t="s">
        <v>13</v>
      </c>
      <c r="C356" s="17" t="s">
        <v>14</v>
      </c>
      <c r="D356">
        <f>_xlfn.XLOOKUP(C356, 'Control Panel'!$B$4:$B$8,'Control Panel'!$C$4:$C$8,"0")</f>
        <v>0.85</v>
      </c>
      <c r="E356">
        <f>_xlfn.XLOOKUP(B356, 'Control Panel'!$B$11:$B$17,'Control Panel'!$C$11:$C$17,"0")</f>
        <v>0.95</v>
      </c>
      <c r="G356" s="17" t="str">
        <f>_xlfn.XLOOKUP(F356, 'Control Panel'!$B$20:$B$26,'Control Panel'!$C$20:$C$26,"0")</f>
        <v>0</v>
      </c>
      <c r="H356" s="18">
        <v>0</v>
      </c>
      <c r="I356" s="18">
        <f t="shared" si="5"/>
        <v>0.8075</v>
      </c>
      <c r="J356" s="18">
        <f>MAX(300,SUM('Control Panel'!$B$1*I356))</f>
        <v>300</v>
      </c>
    </row>
    <row r="357" spans="1:10" s="18" customFormat="1" x14ac:dyDescent="0.25">
      <c r="A357" s="15">
        <v>46366</v>
      </c>
      <c r="B357" s="16" t="s">
        <v>5</v>
      </c>
      <c r="C357" s="17" t="s">
        <v>14</v>
      </c>
      <c r="D357">
        <f>_xlfn.XLOOKUP(C357, 'Control Panel'!$B$4:$B$8,'Control Panel'!$C$4:$C$8,"0")</f>
        <v>0.85</v>
      </c>
      <c r="E357">
        <f>_xlfn.XLOOKUP(B357, 'Control Panel'!$B$11:$B$17,'Control Panel'!$C$11:$C$17,"0")</f>
        <v>0.95</v>
      </c>
      <c r="G357" s="17" t="str">
        <f>_xlfn.XLOOKUP(F357, 'Control Panel'!$B$20:$B$26,'Control Panel'!$C$20:$C$26,"0")</f>
        <v>0</v>
      </c>
      <c r="H357" s="18">
        <v>0</v>
      </c>
      <c r="I357" s="18">
        <f t="shared" si="5"/>
        <v>0.8075</v>
      </c>
      <c r="J357" s="18">
        <f>MAX(300,SUM('Control Panel'!$B$1*I357))</f>
        <v>300</v>
      </c>
    </row>
    <row r="358" spans="1:10" s="18" customFormat="1" x14ac:dyDescent="0.25">
      <c r="A358" s="15">
        <v>46367</v>
      </c>
      <c r="B358" s="16" t="s">
        <v>8</v>
      </c>
      <c r="C358" s="17" t="s">
        <v>14</v>
      </c>
      <c r="D358">
        <f>_xlfn.XLOOKUP(C358, 'Control Panel'!$B$4:$B$8,'Control Panel'!$C$4:$C$8,"0")</f>
        <v>0.85</v>
      </c>
      <c r="E358">
        <f>_xlfn.XLOOKUP(B358, 'Control Panel'!$B$11:$B$17,'Control Panel'!$C$11:$C$17,"0")</f>
        <v>1.1000000000000001</v>
      </c>
      <c r="G358" s="17" t="str">
        <f>_xlfn.XLOOKUP(F358, 'Control Panel'!$B$20:$B$26,'Control Panel'!$C$20:$C$26,"0")</f>
        <v>0</v>
      </c>
      <c r="H358" s="18">
        <v>0</v>
      </c>
      <c r="I358" s="18">
        <f t="shared" si="5"/>
        <v>0.93500000000000005</v>
      </c>
      <c r="J358" s="18">
        <f>MAX(300,SUM('Control Panel'!$B$1*I358))</f>
        <v>300</v>
      </c>
    </row>
    <row r="359" spans="1:10" s="18" customFormat="1" x14ac:dyDescent="0.25">
      <c r="A359" s="15">
        <v>46368</v>
      </c>
      <c r="B359" s="16" t="s">
        <v>9</v>
      </c>
      <c r="C359" s="17" t="s">
        <v>14</v>
      </c>
      <c r="D359">
        <f>_xlfn.XLOOKUP(C359, 'Control Panel'!$B$4:$B$8,'Control Panel'!$C$4:$C$8,"0")</f>
        <v>0.85</v>
      </c>
      <c r="E359">
        <f>_xlfn.XLOOKUP(B359, 'Control Panel'!$B$11:$B$17,'Control Panel'!$C$11:$C$17,"0")</f>
        <v>1.25</v>
      </c>
      <c r="G359" s="17" t="str">
        <f>_xlfn.XLOOKUP(F359, 'Control Panel'!$B$20:$B$26,'Control Panel'!$C$20:$C$26,"0")</f>
        <v>0</v>
      </c>
      <c r="H359" s="18">
        <v>0</v>
      </c>
      <c r="I359" s="18">
        <f t="shared" si="5"/>
        <v>1.0625</v>
      </c>
      <c r="J359" s="18">
        <f>MAX(300,SUM('Control Panel'!$B$1*I359))</f>
        <v>318.75</v>
      </c>
    </row>
    <row r="360" spans="1:10" s="18" customFormat="1" x14ac:dyDescent="0.25">
      <c r="A360" s="15">
        <v>46369</v>
      </c>
      <c r="B360" s="16" t="s">
        <v>10</v>
      </c>
      <c r="C360" s="17" t="s">
        <v>14</v>
      </c>
      <c r="D360">
        <f>_xlfn.XLOOKUP(C360, 'Control Panel'!$B$4:$B$8,'Control Panel'!$C$4:$C$8,"0")</f>
        <v>0.85</v>
      </c>
      <c r="E360">
        <f>_xlfn.XLOOKUP(B360, 'Control Panel'!$B$11:$B$17,'Control Panel'!$C$11:$C$17,"0")</f>
        <v>1.05</v>
      </c>
      <c r="G360" s="17" t="str">
        <f>_xlfn.XLOOKUP(F360, 'Control Panel'!$B$20:$B$26,'Control Panel'!$C$20:$C$26,"0")</f>
        <v>0</v>
      </c>
      <c r="H360" s="18">
        <v>0</v>
      </c>
      <c r="I360" s="18">
        <f t="shared" si="5"/>
        <v>0.89249999999999996</v>
      </c>
      <c r="J360" s="18">
        <f>MAX(300,SUM('Control Panel'!$B$1*I360))</f>
        <v>300</v>
      </c>
    </row>
    <row r="361" spans="1:10" x14ac:dyDescent="0.25">
      <c r="A361" s="5">
        <v>46370</v>
      </c>
      <c r="B361" s="7" t="s">
        <v>11</v>
      </c>
      <c r="C361" s="9" t="s">
        <v>14</v>
      </c>
      <c r="D361">
        <f>_xlfn.XLOOKUP(C361, 'Control Panel'!$B$4:$B$8,'Control Panel'!$C$4:$C$8,"0")</f>
        <v>0.85</v>
      </c>
      <c r="E361">
        <f>_xlfn.XLOOKUP(B361, 'Control Panel'!$B$11:$B$17,'Control Panel'!$C$11:$C$17,"0")</f>
        <v>0.95</v>
      </c>
      <c r="G361" s="9" t="str">
        <f>_xlfn.XLOOKUP(F361, 'Control Panel'!$B$20:$B$26,'Control Panel'!$C$20:$C$26,"0")</f>
        <v>0</v>
      </c>
      <c r="H361">
        <v>0</v>
      </c>
      <c r="I361">
        <f t="shared" si="5"/>
        <v>0.8075</v>
      </c>
      <c r="J361">
        <f>MAX(300,SUM('Control Panel'!$B$1*I361))</f>
        <v>300</v>
      </c>
    </row>
    <row r="362" spans="1:10" x14ac:dyDescent="0.25">
      <c r="A362" s="5">
        <v>46371</v>
      </c>
      <c r="B362" s="7" t="s">
        <v>12</v>
      </c>
      <c r="C362" s="9" t="s">
        <v>6</v>
      </c>
      <c r="D362">
        <f>_xlfn.XLOOKUP(C362, 'Control Panel'!$B$4:$B$8,'Control Panel'!$C$4:$C$8,"0")</f>
        <v>1.25</v>
      </c>
      <c r="E362">
        <f>_xlfn.XLOOKUP(B362, 'Control Panel'!$B$11:$B$17,'Control Panel'!$C$11:$C$17,"0")</f>
        <v>0.95</v>
      </c>
      <c r="G362" s="9" t="str">
        <f>_xlfn.XLOOKUP(F362, 'Control Panel'!$B$20:$B$26,'Control Panel'!$C$20:$C$26,"0")</f>
        <v>0</v>
      </c>
      <c r="H362">
        <v>0</v>
      </c>
      <c r="I362">
        <f t="shared" si="5"/>
        <v>1.1875</v>
      </c>
      <c r="J362">
        <f>MAX(300,SUM('Control Panel'!$B$1*I362))</f>
        <v>356.25</v>
      </c>
    </row>
    <row r="363" spans="1:10" x14ac:dyDescent="0.25">
      <c r="A363" s="5">
        <v>46372</v>
      </c>
      <c r="B363" s="7" t="s">
        <v>13</v>
      </c>
      <c r="C363" s="9" t="s">
        <v>6</v>
      </c>
      <c r="D363">
        <f>_xlfn.XLOOKUP(C363, 'Control Panel'!$B$4:$B$8,'Control Panel'!$C$4:$C$8,"0")</f>
        <v>1.25</v>
      </c>
      <c r="E363">
        <f>_xlfn.XLOOKUP(B363, 'Control Panel'!$B$11:$B$17,'Control Panel'!$C$11:$C$17,"0")</f>
        <v>0.95</v>
      </c>
      <c r="G363" s="9" t="str">
        <f>_xlfn.XLOOKUP(F363, 'Control Panel'!$B$20:$B$26,'Control Panel'!$C$20:$C$26,"0")</f>
        <v>0</v>
      </c>
      <c r="H363">
        <v>0</v>
      </c>
      <c r="I363">
        <f t="shared" si="5"/>
        <v>1.1875</v>
      </c>
      <c r="J363">
        <f>MAX(300,SUM('Control Panel'!$B$1*I363))</f>
        <v>356.25</v>
      </c>
    </row>
    <row r="364" spans="1:10" x14ac:dyDescent="0.25">
      <c r="A364" s="5">
        <v>46373</v>
      </c>
      <c r="B364" s="7" t="s">
        <v>5</v>
      </c>
      <c r="C364" s="9" t="s">
        <v>6</v>
      </c>
      <c r="D364">
        <f>_xlfn.XLOOKUP(C364, 'Control Panel'!$B$4:$B$8,'Control Panel'!$C$4:$C$8,"0")</f>
        <v>1.25</v>
      </c>
      <c r="E364">
        <f>_xlfn.XLOOKUP(B364, 'Control Panel'!$B$11:$B$17,'Control Panel'!$C$11:$C$17,"0")</f>
        <v>0.95</v>
      </c>
      <c r="G364" s="9" t="str">
        <f>_xlfn.XLOOKUP(F364, 'Control Panel'!$B$20:$B$26,'Control Panel'!$C$20:$C$26,"0")</f>
        <v>0</v>
      </c>
      <c r="H364">
        <v>0</v>
      </c>
      <c r="I364">
        <f t="shared" si="5"/>
        <v>1.1875</v>
      </c>
      <c r="J364">
        <f>MAX(300,SUM('Control Panel'!$B$1*I364))</f>
        <v>356.25</v>
      </c>
    </row>
    <row r="365" spans="1:10" x14ac:dyDescent="0.25">
      <c r="A365" s="5">
        <v>46374</v>
      </c>
      <c r="B365" s="7" t="s">
        <v>8</v>
      </c>
      <c r="C365" s="9" t="s">
        <v>6</v>
      </c>
      <c r="D365">
        <f>_xlfn.XLOOKUP(C365, 'Control Panel'!$B$4:$B$8,'Control Panel'!$C$4:$C$8,"0")</f>
        <v>1.25</v>
      </c>
      <c r="E365">
        <f>_xlfn.XLOOKUP(B365, 'Control Panel'!$B$11:$B$17,'Control Panel'!$C$11:$C$17,"0")</f>
        <v>1.1000000000000001</v>
      </c>
      <c r="G365" s="9" t="str">
        <f>_xlfn.XLOOKUP(F365, 'Control Panel'!$B$20:$B$26,'Control Panel'!$C$20:$C$26,"0")</f>
        <v>0</v>
      </c>
      <c r="H365">
        <v>0</v>
      </c>
      <c r="I365">
        <f t="shared" si="5"/>
        <v>1.375</v>
      </c>
      <c r="J365">
        <f>MAX(300,SUM('Control Panel'!$B$1*I365))</f>
        <v>412.5</v>
      </c>
    </row>
    <row r="366" spans="1:10" x14ac:dyDescent="0.25">
      <c r="A366" s="5">
        <v>46375</v>
      </c>
      <c r="B366" s="7" t="s">
        <v>9</v>
      </c>
      <c r="C366" s="9" t="s">
        <v>6</v>
      </c>
      <c r="D366">
        <f>_xlfn.XLOOKUP(C366, 'Control Panel'!$B$4:$B$8,'Control Panel'!$C$4:$C$8,"0")</f>
        <v>1.25</v>
      </c>
      <c r="E366">
        <f>_xlfn.XLOOKUP(B366, 'Control Panel'!$B$11:$B$17,'Control Panel'!$C$11:$C$17,"0")</f>
        <v>1.25</v>
      </c>
      <c r="G366" s="9" t="str">
        <f>_xlfn.XLOOKUP(F366, 'Control Panel'!$B$20:$B$26,'Control Panel'!$C$20:$C$26,"0")</f>
        <v>0</v>
      </c>
      <c r="H366">
        <v>0</v>
      </c>
      <c r="I366">
        <f t="shared" si="5"/>
        <v>1.5625</v>
      </c>
      <c r="J366">
        <f>MAX(300,SUM('Control Panel'!$B$1*I366))</f>
        <v>468.75</v>
      </c>
    </row>
    <row r="367" spans="1:10" x14ac:dyDescent="0.25">
      <c r="A367" s="5">
        <v>46376</v>
      </c>
      <c r="B367" s="7" t="s">
        <v>10</v>
      </c>
      <c r="C367" s="9" t="s">
        <v>6</v>
      </c>
      <c r="D367">
        <f>_xlfn.XLOOKUP(C367, 'Control Panel'!$B$4:$B$8,'Control Panel'!$C$4:$C$8,"0")</f>
        <v>1.25</v>
      </c>
      <c r="E367">
        <f>_xlfn.XLOOKUP(B367, 'Control Panel'!$B$11:$B$17,'Control Panel'!$C$11:$C$17,"0")</f>
        <v>1.05</v>
      </c>
      <c r="G367" s="9" t="str">
        <f>_xlfn.XLOOKUP(F367, 'Control Panel'!$B$20:$B$26,'Control Panel'!$C$20:$C$26,"0")</f>
        <v>0</v>
      </c>
      <c r="H367">
        <v>0</v>
      </c>
      <c r="I367">
        <f t="shared" si="5"/>
        <v>1.3125</v>
      </c>
      <c r="J367">
        <f>MAX(300,SUM('Control Panel'!$B$1*I367))</f>
        <v>393.75</v>
      </c>
    </row>
    <row r="368" spans="1:10" s="18" customFormat="1" x14ac:dyDescent="0.25">
      <c r="A368" s="15">
        <v>46377</v>
      </c>
      <c r="B368" s="16" t="s">
        <v>11</v>
      </c>
      <c r="C368" s="17" t="s">
        <v>6</v>
      </c>
      <c r="D368">
        <f>_xlfn.XLOOKUP(C368, 'Control Panel'!$B$4:$B$8,'Control Panel'!$C$4:$C$8,"0")</f>
        <v>1.25</v>
      </c>
      <c r="E368">
        <f>_xlfn.XLOOKUP(B368, 'Control Panel'!$B$11:$B$17,'Control Panel'!$C$11:$C$17,"0")</f>
        <v>0.95</v>
      </c>
      <c r="G368" s="17" t="str">
        <f>_xlfn.XLOOKUP(F368, 'Control Panel'!$B$20:$B$26,'Control Panel'!$C$20:$C$26,"0")</f>
        <v>0</v>
      </c>
      <c r="H368" s="18">
        <v>0</v>
      </c>
      <c r="I368" s="18">
        <f t="shared" si="5"/>
        <v>1.1875</v>
      </c>
      <c r="J368" s="18">
        <f>MAX(300,SUM('Control Panel'!$B$1*I368))</f>
        <v>356.25</v>
      </c>
    </row>
    <row r="369" spans="1:10" s="18" customFormat="1" x14ac:dyDescent="0.25">
      <c r="A369" s="15">
        <v>46378</v>
      </c>
      <c r="B369" s="16" t="s">
        <v>12</v>
      </c>
      <c r="C369" s="17" t="s">
        <v>6</v>
      </c>
      <c r="D369">
        <f>_xlfn.XLOOKUP(C369, 'Control Panel'!$B$4:$B$8,'Control Panel'!$C$4:$C$8,"0")</f>
        <v>1.25</v>
      </c>
      <c r="E369">
        <f>_xlfn.XLOOKUP(B369, 'Control Panel'!$B$11:$B$17,'Control Panel'!$C$11:$C$17,"0")</f>
        <v>0.95</v>
      </c>
      <c r="G369" s="17" t="str">
        <f>_xlfn.XLOOKUP(F369, 'Control Panel'!$B$20:$B$26,'Control Panel'!$C$20:$C$26,"0")</f>
        <v>0</v>
      </c>
      <c r="H369" s="18">
        <v>0</v>
      </c>
      <c r="I369" s="18">
        <f t="shared" si="5"/>
        <v>1.1875</v>
      </c>
      <c r="J369" s="18">
        <f>MAX(300,SUM('Control Panel'!$B$1*I369))</f>
        <v>356.25</v>
      </c>
    </row>
    <row r="370" spans="1:10" s="18" customFormat="1" x14ac:dyDescent="0.25">
      <c r="A370" s="15">
        <v>46379</v>
      </c>
      <c r="B370" s="16" t="s">
        <v>13</v>
      </c>
      <c r="C370" s="17" t="s">
        <v>6</v>
      </c>
      <c r="D370">
        <f>_xlfn.XLOOKUP(C370, 'Control Panel'!$B$4:$B$8,'Control Panel'!$C$4:$C$8,"0")</f>
        <v>1.25</v>
      </c>
      <c r="E370">
        <f>_xlfn.XLOOKUP(B370, 'Control Panel'!$B$11:$B$17,'Control Panel'!$C$11:$C$17,"0")</f>
        <v>0.95</v>
      </c>
      <c r="G370" s="17" t="str">
        <f>_xlfn.XLOOKUP(F370, 'Control Panel'!$B$20:$B$26,'Control Panel'!$C$20:$C$26,"0")</f>
        <v>0</v>
      </c>
      <c r="H370" s="18">
        <v>0</v>
      </c>
      <c r="I370" s="18">
        <f t="shared" si="5"/>
        <v>1.1875</v>
      </c>
      <c r="J370" s="18">
        <f>MAX(300,SUM('Control Panel'!$B$1*I370))</f>
        <v>356.25</v>
      </c>
    </row>
    <row r="371" spans="1:10" s="18" customFormat="1" x14ac:dyDescent="0.25">
      <c r="A371" s="15">
        <v>46380</v>
      </c>
      <c r="B371" s="16" t="s">
        <v>5</v>
      </c>
      <c r="C371" s="17" t="s">
        <v>6</v>
      </c>
      <c r="D371">
        <f>_xlfn.XLOOKUP(C371, 'Control Panel'!$B$4:$B$8,'Control Panel'!$C$4:$C$8,"0")</f>
        <v>1.25</v>
      </c>
      <c r="E371">
        <f>_xlfn.XLOOKUP(B371, 'Control Panel'!$B$11:$B$17,'Control Panel'!$C$11:$C$17,"0")</f>
        <v>0.95</v>
      </c>
      <c r="G371" s="17" t="str">
        <f>_xlfn.XLOOKUP(F371, 'Control Panel'!$B$20:$B$26,'Control Panel'!$C$20:$C$26,"0")</f>
        <v>0</v>
      </c>
      <c r="H371" s="18">
        <v>0</v>
      </c>
      <c r="I371" s="18">
        <f t="shared" si="5"/>
        <v>1.1875</v>
      </c>
      <c r="J371" s="18">
        <f>MAX(300,SUM('Control Panel'!$B$1*I371))</f>
        <v>356.25</v>
      </c>
    </row>
    <row r="372" spans="1:10" s="18" customFormat="1" x14ac:dyDescent="0.25">
      <c r="A372" s="15">
        <v>46381</v>
      </c>
      <c r="B372" s="16" t="s">
        <v>8</v>
      </c>
      <c r="C372" s="17" t="s">
        <v>6</v>
      </c>
      <c r="D372">
        <f>_xlfn.XLOOKUP(C372, 'Control Panel'!$B$4:$B$8,'Control Panel'!$C$4:$C$8,"0")</f>
        <v>1.25</v>
      </c>
      <c r="E372">
        <f>_xlfn.XLOOKUP(B372, 'Control Panel'!$B$11:$B$17,'Control Panel'!$C$11:$C$17,"0")</f>
        <v>1.1000000000000001</v>
      </c>
      <c r="F372" s="18" t="s">
        <v>23</v>
      </c>
      <c r="G372" s="17">
        <f>_xlfn.XLOOKUP(F372, 'Control Panel'!$B$20:$B$26,'Control Panel'!$C$20:$C$26,"0")</f>
        <v>0.6</v>
      </c>
      <c r="H372" s="18">
        <v>0</v>
      </c>
      <c r="I372" s="18">
        <f t="shared" si="5"/>
        <v>1.9750000000000001</v>
      </c>
      <c r="J372" s="18">
        <f>MAX(300,SUM('Control Panel'!$B$1*I372))</f>
        <v>592.5</v>
      </c>
    </row>
    <row r="373" spans="1:10" s="18" customFormat="1" x14ac:dyDescent="0.25">
      <c r="A373" s="15">
        <v>46382</v>
      </c>
      <c r="B373" s="16" t="s">
        <v>9</v>
      </c>
      <c r="C373" s="17" t="s">
        <v>6</v>
      </c>
      <c r="D373">
        <f>_xlfn.XLOOKUP(C373, 'Control Panel'!$B$4:$B$8,'Control Panel'!$C$4:$C$8,"0")</f>
        <v>1.25</v>
      </c>
      <c r="E373">
        <f>_xlfn.XLOOKUP(B373, 'Control Panel'!$B$11:$B$17,'Control Panel'!$C$11:$C$17,"0")</f>
        <v>1.25</v>
      </c>
      <c r="G373" s="17" t="str">
        <f>_xlfn.XLOOKUP(F373, 'Control Panel'!$B$20:$B$26,'Control Panel'!$C$20:$C$26,"0")</f>
        <v>0</v>
      </c>
      <c r="H373" s="18">
        <v>0</v>
      </c>
      <c r="I373" s="18">
        <f t="shared" si="5"/>
        <v>1.5625</v>
      </c>
      <c r="J373" s="18">
        <f>MAX(300,SUM('Control Panel'!$B$1*I373))</f>
        <v>468.75</v>
      </c>
    </row>
    <row r="374" spans="1:10" x14ac:dyDescent="0.25">
      <c r="A374" s="5">
        <v>46383</v>
      </c>
      <c r="B374" s="7" t="s">
        <v>10</v>
      </c>
      <c r="C374" s="9" t="s">
        <v>6</v>
      </c>
      <c r="D374">
        <f>_xlfn.XLOOKUP(C374, 'Control Panel'!$B$4:$B$8,'Control Panel'!$C$4:$C$8,"0")</f>
        <v>1.25</v>
      </c>
      <c r="E374">
        <f>_xlfn.XLOOKUP(B374, 'Control Panel'!$B$11:$B$17,'Control Panel'!$C$11:$C$17,"0")</f>
        <v>1.05</v>
      </c>
      <c r="G374" s="9" t="str">
        <f>_xlfn.XLOOKUP(F374, 'Control Panel'!$B$20:$B$26,'Control Panel'!$C$20:$C$26,"0")</f>
        <v>0</v>
      </c>
      <c r="H374">
        <v>0</v>
      </c>
      <c r="I374">
        <f t="shared" si="5"/>
        <v>1.3125</v>
      </c>
      <c r="J374">
        <f>MAX(300,SUM('Control Panel'!$B$1*I374))</f>
        <v>393.75</v>
      </c>
    </row>
    <row r="375" spans="1:10" x14ac:dyDescent="0.25">
      <c r="A375" s="5">
        <v>46384</v>
      </c>
      <c r="B375" s="7" t="s">
        <v>11</v>
      </c>
      <c r="C375" s="9" t="s">
        <v>6</v>
      </c>
      <c r="D375">
        <f>_xlfn.XLOOKUP(C375, 'Control Panel'!$B$4:$B$8,'Control Panel'!$C$4:$C$8,"0")</f>
        <v>1.25</v>
      </c>
      <c r="E375">
        <f>_xlfn.XLOOKUP(B375, 'Control Panel'!$B$11:$B$17,'Control Panel'!$C$11:$C$17,"0")</f>
        <v>0.95</v>
      </c>
      <c r="G375" s="9" t="str">
        <f>_xlfn.XLOOKUP(F375, 'Control Panel'!$B$20:$B$26,'Control Panel'!$C$20:$C$26,"0")</f>
        <v>0</v>
      </c>
      <c r="H375">
        <v>0</v>
      </c>
      <c r="I375">
        <f t="shared" si="5"/>
        <v>1.1875</v>
      </c>
      <c r="J375">
        <f>MAX(300,SUM('Control Panel'!$B$1*I375))</f>
        <v>356.25</v>
      </c>
    </row>
    <row r="376" spans="1:10" x14ac:dyDescent="0.25">
      <c r="A376" s="5">
        <v>46385</v>
      </c>
      <c r="B376" s="7" t="s">
        <v>12</v>
      </c>
      <c r="C376" s="9" t="s">
        <v>6</v>
      </c>
      <c r="D376">
        <f>_xlfn.XLOOKUP(C376, 'Control Panel'!$B$4:$B$8,'Control Panel'!$C$4:$C$8,"0")</f>
        <v>1.25</v>
      </c>
      <c r="E376">
        <f>_xlfn.XLOOKUP(B376, 'Control Panel'!$B$11:$B$17,'Control Panel'!$C$11:$C$17,"0")</f>
        <v>0.95</v>
      </c>
      <c r="G376" s="9" t="str">
        <f>_xlfn.XLOOKUP(F376, 'Control Panel'!$B$20:$B$26,'Control Panel'!$C$20:$C$26,"0")</f>
        <v>0</v>
      </c>
      <c r="H376">
        <v>0</v>
      </c>
      <c r="I376">
        <f t="shared" si="5"/>
        <v>1.1875</v>
      </c>
      <c r="J376">
        <f>MAX(300,SUM('Control Panel'!$B$1*I376))</f>
        <v>356.25</v>
      </c>
    </row>
    <row r="377" spans="1:10" x14ac:dyDescent="0.25">
      <c r="A377" s="5">
        <v>46386</v>
      </c>
      <c r="B377" s="7" t="s">
        <v>13</v>
      </c>
      <c r="C377" s="9" t="s">
        <v>6</v>
      </c>
      <c r="D377">
        <f>_xlfn.XLOOKUP(C377, 'Control Panel'!$B$4:$B$8,'Control Panel'!$C$4:$C$8,"0")</f>
        <v>1.25</v>
      </c>
      <c r="E377">
        <f>_xlfn.XLOOKUP(B377, 'Control Panel'!$B$11:$B$17,'Control Panel'!$C$11:$C$17,"0")</f>
        <v>0.95</v>
      </c>
      <c r="G377" s="9" t="str">
        <f>_xlfn.XLOOKUP(F377, 'Control Panel'!$B$20:$B$26,'Control Panel'!$C$20:$C$26,"0")</f>
        <v>0</v>
      </c>
      <c r="H377">
        <v>0</v>
      </c>
      <c r="I377">
        <f t="shared" si="5"/>
        <v>1.1875</v>
      </c>
      <c r="J377">
        <f>MAX(300,SUM('Control Panel'!$B$1*I377))</f>
        <v>356.25</v>
      </c>
    </row>
    <row r="378" spans="1:10" x14ac:dyDescent="0.25">
      <c r="A378" s="5">
        <v>46387</v>
      </c>
      <c r="B378" s="7" t="s">
        <v>5</v>
      </c>
      <c r="C378" s="9" t="s">
        <v>6</v>
      </c>
      <c r="D378">
        <f>_xlfn.XLOOKUP(C378, 'Control Panel'!$B$4:$B$8,'Control Panel'!$C$4:$C$8,"0")</f>
        <v>1.25</v>
      </c>
      <c r="E378">
        <f>_xlfn.XLOOKUP(B378, 'Control Panel'!$B$11:$B$17,'Control Panel'!$C$11:$C$17,"0")</f>
        <v>0.95</v>
      </c>
      <c r="G378" s="9" t="str">
        <f>_xlfn.XLOOKUP(F378, 'Control Panel'!$B$20:$B$26,'Control Panel'!$C$20:$C$26,"0")</f>
        <v>0</v>
      </c>
      <c r="H378">
        <v>0</v>
      </c>
      <c r="I378">
        <f t="shared" si="5"/>
        <v>1.1875</v>
      </c>
      <c r="J378">
        <f>MAX(300,SUM('Control Panel'!$B$1*I378))</f>
        <v>356.25</v>
      </c>
    </row>
    <row r="379" spans="1:10" x14ac:dyDescent="0.25">
      <c r="A379" s="10" t="s">
        <v>32</v>
      </c>
      <c r="B379" s="13"/>
      <c r="C379" s="14"/>
      <c r="G379" s="9" t="str">
        <f>_xlfn.XLOOKUP(F379, 'Control Panel'!$B$20:$B$26,'Control Panel'!$C$20:$C$26,"0")</f>
        <v>0</v>
      </c>
    </row>
    <row r="380" spans="1:10" x14ac:dyDescent="0.25">
      <c r="A380" s="5">
        <v>46388</v>
      </c>
      <c r="B380" s="7" t="s">
        <v>8</v>
      </c>
      <c r="C380" s="9" t="s">
        <v>6</v>
      </c>
      <c r="D380">
        <f>_xlfn.XLOOKUP(C380, 'Control Panel'!$B$4:$B$8,'Control Panel'!$C$4:$C$8,"0")</f>
        <v>1.25</v>
      </c>
      <c r="E380">
        <f>_xlfn.XLOOKUP(B380, 'Control Panel'!$B$11:$B$17,'Control Panel'!$C$11:$C$17,"0")</f>
        <v>1.1000000000000001</v>
      </c>
      <c r="F380" t="s">
        <v>7</v>
      </c>
      <c r="G380" s="9">
        <f>_xlfn.XLOOKUP(F380, 'Control Panel'!$B$20:$B$26,'Control Panel'!$C$20:$C$26,"0")</f>
        <v>0.5</v>
      </c>
      <c r="H380">
        <v>0</v>
      </c>
      <c r="I380">
        <f t="shared" si="5"/>
        <v>1.875</v>
      </c>
      <c r="J380">
        <f>MAX(300,SUM('Control Panel'!$B$1*I380))</f>
        <v>562.5</v>
      </c>
    </row>
    <row r="381" spans="1:10" x14ac:dyDescent="0.25">
      <c r="A381" s="5">
        <v>46389</v>
      </c>
      <c r="B381" s="7" t="s">
        <v>9</v>
      </c>
      <c r="C381" s="9" t="s">
        <v>6</v>
      </c>
      <c r="D381">
        <f>_xlfn.XLOOKUP(C381, 'Control Panel'!$B$4:$B$8,'Control Panel'!$C$4:$C$8,"0")</f>
        <v>1.25</v>
      </c>
      <c r="E381">
        <f>_xlfn.XLOOKUP(B381, 'Control Panel'!$B$11:$B$17,'Control Panel'!$C$11:$C$17,"0")</f>
        <v>1.25</v>
      </c>
      <c r="G381" s="9" t="str">
        <f>_xlfn.XLOOKUP(F381, 'Control Panel'!$B$20:$B$26,'Control Panel'!$C$20:$C$26,"0")</f>
        <v>0</v>
      </c>
      <c r="H381">
        <v>0</v>
      </c>
      <c r="I381">
        <f t="shared" si="5"/>
        <v>1.5625</v>
      </c>
      <c r="J381">
        <f>MAX(300,SUM('Control Panel'!$B$1*I381))</f>
        <v>468.75</v>
      </c>
    </row>
    <row r="382" spans="1:10" x14ac:dyDescent="0.25">
      <c r="A382" s="5">
        <v>46390</v>
      </c>
      <c r="B382" s="7" t="s">
        <v>10</v>
      </c>
      <c r="C382" s="9" t="s">
        <v>6</v>
      </c>
      <c r="D382">
        <f>_xlfn.XLOOKUP(C382, 'Control Panel'!$B$4:$B$8,'Control Panel'!$C$4:$C$8,"0")</f>
        <v>1.25</v>
      </c>
      <c r="E382">
        <f>_xlfn.XLOOKUP(B382, 'Control Panel'!$B$11:$B$17,'Control Panel'!$C$11:$C$17,"0")</f>
        <v>1.05</v>
      </c>
      <c r="G382" s="9" t="str">
        <f>_xlfn.XLOOKUP(F382, 'Control Panel'!$B$20:$B$26,'Control Panel'!$C$20:$C$26,"0")</f>
        <v>0</v>
      </c>
      <c r="H382">
        <v>0</v>
      </c>
      <c r="I382">
        <f t="shared" si="5"/>
        <v>1.3125</v>
      </c>
      <c r="J382">
        <f>MAX(300,SUM('Control Panel'!$B$1*I382))</f>
        <v>393.75</v>
      </c>
    </row>
    <row r="383" spans="1:10" s="18" customFormat="1" x14ac:dyDescent="0.25">
      <c r="A383" s="15">
        <v>46391</v>
      </c>
      <c r="B383" s="16" t="s">
        <v>11</v>
      </c>
      <c r="C383" s="17" t="s">
        <v>6</v>
      </c>
      <c r="D383">
        <f>_xlfn.XLOOKUP(C383, 'Control Panel'!$B$4:$B$8,'Control Panel'!$C$4:$C$8,"0")</f>
        <v>1.25</v>
      </c>
      <c r="E383">
        <f>_xlfn.XLOOKUP(B383, 'Control Panel'!$B$11:$B$17,'Control Panel'!$C$11:$C$17,"0")</f>
        <v>0.95</v>
      </c>
      <c r="G383" s="17" t="str">
        <f>_xlfn.XLOOKUP(F383, 'Control Panel'!$B$20:$B$26,'Control Panel'!$C$20:$C$26,"0")</f>
        <v>0</v>
      </c>
      <c r="H383" s="18">
        <v>0</v>
      </c>
      <c r="I383" s="18">
        <f t="shared" si="5"/>
        <v>1.1875</v>
      </c>
      <c r="J383" s="18">
        <f>MAX(300,SUM('Control Panel'!$B$1*I383))</f>
        <v>356.25</v>
      </c>
    </row>
    <row r="384" spans="1:10" s="18" customFormat="1" x14ac:dyDescent="0.25">
      <c r="A384" s="15">
        <v>46392</v>
      </c>
      <c r="B384" s="16" t="s">
        <v>12</v>
      </c>
      <c r="C384" s="17" t="s">
        <v>6</v>
      </c>
      <c r="D384">
        <f>_xlfn.XLOOKUP(C384, 'Control Panel'!$B$4:$B$8,'Control Panel'!$C$4:$C$8,"0")</f>
        <v>1.25</v>
      </c>
      <c r="E384">
        <f>_xlfn.XLOOKUP(B384, 'Control Panel'!$B$11:$B$17,'Control Panel'!$C$11:$C$17,"0")</f>
        <v>0.95</v>
      </c>
      <c r="G384" s="17" t="str">
        <f>_xlfn.XLOOKUP(F384, 'Control Panel'!$B$20:$B$26,'Control Panel'!$C$20:$C$26,"0")</f>
        <v>0</v>
      </c>
      <c r="H384" s="18">
        <v>0</v>
      </c>
      <c r="I384" s="18">
        <f t="shared" si="5"/>
        <v>1.1875</v>
      </c>
      <c r="J384" s="18">
        <f>MAX(300,SUM('Control Panel'!$B$1*I384))</f>
        <v>356.25</v>
      </c>
    </row>
    <row r="385" spans="1:10" s="18" customFormat="1" x14ac:dyDescent="0.25">
      <c r="A385" s="15">
        <v>46393</v>
      </c>
      <c r="B385" s="16" t="s">
        <v>13</v>
      </c>
      <c r="C385" s="17" t="s">
        <v>6</v>
      </c>
      <c r="D385">
        <f>_xlfn.XLOOKUP(C385, 'Control Panel'!$B$4:$B$8,'Control Panel'!$C$4:$C$8,"0")</f>
        <v>1.25</v>
      </c>
      <c r="E385">
        <f>_xlfn.XLOOKUP(B385, 'Control Panel'!$B$11:$B$17,'Control Panel'!$C$11:$C$17,"0")</f>
        <v>0.95</v>
      </c>
      <c r="G385" s="17" t="str">
        <f>_xlfn.XLOOKUP(F385, 'Control Panel'!$B$20:$B$26,'Control Panel'!$C$20:$C$26,"0")</f>
        <v>0</v>
      </c>
      <c r="H385" s="18">
        <v>0</v>
      </c>
      <c r="I385" s="18">
        <f t="shared" si="5"/>
        <v>1.1875</v>
      </c>
      <c r="J385" s="18">
        <f>MAX(300,SUM('Control Panel'!$B$1*I385))</f>
        <v>356.25</v>
      </c>
    </row>
    <row r="386" spans="1:10" s="18" customFormat="1" x14ac:dyDescent="0.25">
      <c r="A386" s="15">
        <v>46394</v>
      </c>
      <c r="B386" s="16" t="s">
        <v>5</v>
      </c>
      <c r="C386" s="17" t="s">
        <v>6</v>
      </c>
      <c r="D386">
        <f>_xlfn.XLOOKUP(C386, 'Control Panel'!$B$4:$B$8,'Control Panel'!$C$4:$C$8,"0")</f>
        <v>1.25</v>
      </c>
      <c r="E386">
        <f>_xlfn.XLOOKUP(B386, 'Control Panel'!$B$11:$B$17,'Control Panel'!$C$11:$C$17,"0")</f>
        <v>0.95</v>
      </c>
      <c r="G386" s="17" t="str">
        <f>_xlfn.XLOOKUP(F386, 'Control Panel'!$B$20:$B$26,'Control Panel'!$C$20:$C$26,"0")</f>
        <v>0</v>
      </c>
      <c r="H386" s="18">
        <v>0</v>
      </c>
      <c r="I386" s="18">
        <f t="shared" si="5"/>
        <v>1.1875</v>
      </c>
      <c r="J386" s="18">
        <f>MAX(300,SUM('Control Panel'!$B$1*I386))</f>
        <v>356.25</v>
      </c>
    </row>
    <row r="387" spans="1:10" s="18" customFormat="1" x14ac:dyDescent="0.25">
      <c r="A387" s="15">
        <v>46395</v>
      </c>
      <c r="B387" s="16" t="s">
        <v>8</v>
      </c>
      <c r="C387" s="17" t="s">
        <v>6</v>
      </c>
      <c r="D387">
        <f>_xlfn.XLOOKUP(C387, 'Control Panel'!$B$4:$B$8,'Control Panel'!$C$4:$C$8,"0")</f>
        <v>1.25</v>
      </c>
      <c r="E387">
        <f>_xlfn.XLOOKUP(B387, 'Control Panel'!$B$11:$B$17,'Control Panel'!$C$11:$C$17,"0")</f>
        <v>1.1000000000000001</v>
      </c>
      <c r="G387" s="17" t="str">
        <f>_xlfn.XLOOKUP(F387, 'Control Panel'!$B$20:$B$26,'Control Panel'!$C$20:$C$26,"0")</f>
        <v>0</v>
      </c>
      <c r="H387" s="18">
        <v>0</v>
      </c>
      <c r="I387" s="18">
        <f t="shared" si="5"/>
        <v>1.375</v>
      </c>
      <c r="J387" s="18">
        <f>MAX(300,SUM('Control Panel'!$B$1*I387))</f>
        <v>412.5</v>
      </c>
    </row>
    <row r="388" spans="1:10" s="18" customFormat="1" x14ac:dyDescent="0.25">
      <c r="A388" s="15">
        <v>46396</v>
      </c>
      <c r="B388" s="16" t="s">
        <v>9</v>
      </c>
      <c r="C388" s="17" t="s">
        <v>6</v>
      </c>
      <c r="D388">
        <f>_xlfn.XLOOKUP(C388, 'Control Panel'!$B$4:$B$8,'Control Panel'!$C$4:$C$8,"0")</f>
        <v>1.25</v>
      </c>
      <c r="E388">
        <f>_xlfn.XLOOKUP(B388, 'Control Panel'!$B$11:$B$17,'Control Panel'!$C$11:$C$17,"0")</f>
        <v>1.25</v>
      </c>
      <c r="G388" s="17" t="str">
        <f>_xlfn.XLOOKUP(F388, 'Control Panel'!$B$20:$B$26,'Control Panel'!$C$20:$C$26,"0")</f>
        <v>0</v>
      </c>
      <c r="H388" s="18">
        <v>0</v>
      </c>
      <c r="I388" s="18">
        <f t="shared" si="5"/>
        <v>1.5625</v>
      </c>
      <c r="J388" s="18">
        <f>MAX(300,SUM('Control Panel'!$B$1*I388))</f>
        <v>468.75</v>
      </c>
    </row>
    <row r="389" spans="1:10" s="18" customFormat="1" x14ac:dyDescent="0.25">
      <c r="A389" s="15">
        <v>46397</v>
      </c>
      <c r="B389" s="16" t="s">
        <v>10</v>
      </c>
      <c r="C389" s="17" t="s">
        <v>6</v>
      </c>
      <c r="D389">
        <f>_xlfn.XLOOKUP(C389, 'Control Panel'!$B$4:$B$8,'Control Panel'!$C$4:$C$8,"0")</f>
        <v>1.25</v>
      </c>
      <c r="E389">
        <f>_xlfn.XLOOKUP(B389, 'Control Panel'!$B$11:$B$17,'Control Panel'!$C$11:$C$17,"0")</f>
        <v>1.05</v>
      </c>
      <c r="G389" s="17" t="str">
        <f>_xlfn.XLOOKUP(F389, 'Control Panel'!$B$20:$B$26,'Control Panel'!$C$20:$C$26,"0")</f>
        <v>0</v>
      </c>
      <c r="H389" s="18">
        <v>0</v>
      </c>
      <c r="I389" s="18">
        <f t="shared" si="5"/>
        <v>1.3125</v>
      </c>
      <c r="J389" s="18">
        <f>MAX(300,SUM('Control Panel'!$B$1*I389))</f>
        <v>393.75</v>
      </c>
    </row>
    <row r="390" spans="1:10" x14ac:dyDescent="0.25">
      <c r="A390" s="5">
        <v>46398</v>
      </c>
      <c r="B390" s="7" t="s">
        <v>11</v>
      </c>
      <c r="C390" s="9" t="s">
        <v>6</v>
      </c>
      <c r="D390">
        <f>_xlfn.XLOOKUP(C390, 'Control Panel'!$B$4:$B$8,'Control Panel'!$C$4:$C$8,"0")</f>
        <v>1.25</v>
      </c>
      <c r="E390">
        <f>_xlfn.XLOOKUP(B390, 'Control Panel'!$B$11:$B$17,'Control Panel'!$C$11:$C$17,"0")</f>
        <v>0.95</v>
      </c>
      <c r="G390" s="9" t="str">
        <f>_xlfn.XLOOKUP(F390, 'Control Panel'!$B$20:$B$26,'Control Panel'!$C$20:$C$26,"0")</f>
        <v>0</v>
      </c>
      <c r="H390">
        <v>0</v>
      </c>
      <c r="I390">
        <f t="shared" si="5"/>
        <v>1.1875</v>
      </c>
      <c r="J390">
        <f>MAX(300,SUM('Control Panel'!$B$1*I390))</f>
        <v>356.25</v>
      </c>
    </row>
    <row r="391" spans="1:10" x14ac:dyDescent="0.25">
      <c r="A391" s="5">
        <v>46399</v>
      </c>
      <c r="B391" s="7" t="s">
        <v>12</v>
      </c>
      <c r="C391" s="9" t="s">
        <v>6</v>
      </c>
      <c r="D391">
        <f>_xlfn.XLOOKUP(C391, 'Control Panel'!$B$4:$B$8,'Control Panel'!$C$4:$C$8,"0")</f>
        <v>1.25</v>
      </c>
      <c r="E391">
        <f>_xlfn.XLOOKUP(B391, 'Control Panel'!$B$11:$B$17,'Control Panel'!$C$11:$C$17,"0")</f>
        <v>0.95</v>
      </c>
      <c r="G391" s="9" t="str">
        <f>_xlfn.XLOOKUP(F391, 'Control Panel'!$B$20:$B$26,'Control Panel'!$C$20:$C$26,"0")</f>
        <v>0</v>
      </c>
      <c r="H391">
        <v>0</v>
      </c>
      <c r="I391">
        <f t="shared" si="5"/>
        <v>1.1875</v>
      </c>
      <c r="J391">
        <f>MAX(300,SUM('Control Panel'!$B$1*I391))</f>
        <v>356.25</v>
      </c>
    </row>
    <row r="392" spans="1:10" x14ac:dyDescent="0.25">
      <c r="A392" s="5">
        <v>46400</v>
      </c>
      <c r="B392" s="7" t="s">
        <v>13</v>
      </c>
      <c r="C392" s="9" t="s">
        <v>6</v>
      </c>
      <c r="D392">
        <f>_xlfn.XLOOKUP(C392, 'Control Panel'!$B$4:$B$8,'Control Panel'!$C$4:$C$8,"0")</f>
        <v>1.25</v>
      </c>
      <c r="E392">
        <f>_xlfn.XLOOKUP(B392, 'Control Panel'!$B$11:$B$17,'Control Panel'!$C$11:$C$17,"0")</f>
        <v>0.95</v>
      </c>
      <c r="G392" s="9" t="str">
        <f>_xlfn.XLOOKUP(F392, 'Control Panel'!$B$20:$B$26,'Control Panel'!$C$20:$C$26,"0")</f>
        <v>0</v>
      </c>
      <c r="H392">
        <v>0</v>
      </c>
      <c r="I392">
        <f t="shared" si="5"/>
        <v>1.1875</v>
      </c>
      <c r="J392">
        <f>MAX(300,SUM('Control Panel'!$B$1*I392))</f>
        <v>356.25</v>
      </c>
    </row>
    <row r="393" spans="1:10" x14ac:dyDescent="0.25">
      <c r="A393" s="5">
        <v>46401</v>
      </c>
      <c r="B393" s="7" t="s">
        <v>5</v>
      </c>
      <c r="C393" s="9" t="s">
        <v>6</v>
      </c>
      <c r="D393">
        <f>_xlfn.XLOOKUP(C393, 'Control Panel'!$B$4:$B$8,'Control Panel'!$C$4:$C$8,"0")</f>
        <v>1.25</v>
      </c>
      <c r="E393">
        <f>_xlfn.XLOOKUP(B393, 'Control Panel'!$B$11:$B$17,'Control Panel'!$C$11:$C$17,"0")</f>
        <v>0.95</v>
      </c>
      <c r="G393" s="9" t="str">
        <f>_xlfn.XLOOKUP(F393, 'Control Panel'!$B$20:$B$26,'Control Panel'!$C$20:$C$26,"0")</f>
        <v>0</v>
      </c>
      <c r="H393">
        <v>0</v>
      </c>
      <c r="I393">
        <f t="shared" si="5"/>
        <v>1.1875</v>
      </c>
      <c r="J393">
        <f>MAX(300,SUM('Control Panel'!$B$1*I393))</f>
        <v>356.25</v>
      </c>
    </row>
    <row r="394" spans="1:10" x14ac:dyDescent="0.25">
      <c r="A394" s="5">
        <v>46402</v>
      </c>
      <c r="B394" s="7" t="s">
        <v>8</v>
      </c>
      <c r="C394" s="9" t="s">
        <v>6</v>
      </c>
      <c r="D394">
        <f>_xlfn.XLOOKUP(C394, 'Control Panel'!$B$4:$B$8,'Control Panel'!$C$4:$C$8,"0")</f>
        <v>1.25</v>
      </c>
      <c r="E394">
        <f>_xlfn.XLOOKUP(B394, 'Control Panel'!$B$11:$B$17,'Control Panel'!$C$11:$C$17,"0")</f>
        <v>1.1000000000000001</v>
      </c>
      <c r="G394" s="9" t="str">
        <f>_xlfn.XLOOKUP(F394, 'Control Panel'!$B$20:$B$26,'Control Panel'!$C$20:$C$26,"0")</f>
        <v>0</v>
      </c>
      <c r="H394">
        <v>0</v>
      </c>
      <c r="I394">
        <f t="shared" si="5"/>
        <v>1.375</v>
      </c>
      <c r="J394">
        <f>MAX(300,SUM('Control Panel'!$B$1*I394))</f>
        <v>412.5</v>
      </c>
    </row>
    <row r="395" spans="1:10" x14ac:dyDescent="0.25">
      <c r="A395" s="5">
        <v>46403</v>
      </c>
      <c r="B395" s="7" t="s">
        <v>9</v>
      </c>
      <c r="C395" s="9" t="s">
        <v>6</v>
      </c>
      <c r="D395">
        <f>_xlfn.XLOOKUP(C395, 'Control Panel'!$B$4:$B$8,'Control Panel'!$C$4:$C$8,"0")</f>
        <v>1.25</v>
      </c>
      <c r="E395">
        <f>_xlfn.XLOOKUP(B395, 'Control Panel'!$B$11:$B$17,'Control Panel'!$C$11:$C$17,"0")</f>
        <v>1.25</v>
      </c>
      <c r="G395" s="9" t="str">
        <f>_xlfn.XLOOKUP(F395, 'Control Panel'!$B$20:$B$26,'Control Panel'!$C$20:$C$26,"0")</f>
        <v>0</v>
      </c>
      <c r="H395">
        <v>0</v>
      </c>
      <c r="I395">
        <f t="shared" si="5"/>
        <v>1.5625</v>
      </c>
      <c r="J395">
        <f>MAX(300,SUM('Control Panel'!$B$1*I395))</f>
        <v>468.75</v>
      </c>
    </row>
    <row r="396" spans="1:10" x14ac:dyDescent="0.25">
      <c r="A396" s="5">
        <v>46404</v>
      </c>
      <c r="B396" s="7" t="s">
        <v>10</v>
      </c>
      <c r="C396" s="9" t="s">
        <v>6</v>
      </c>
      <c r="D396">
        <f>_xlfn.XLOOKUP(C396, 'Control Panel'!$B$4:$B$8,'Control Panel'!$C$4:$C$8,"0")</f>
        <v>1.25</v>
      </c>
      <c r="E396">
        <f>_xlfn.XLOOKUP(B396, 'Control Panel'!$B$11:$B$17,'Control Panel'!$C$11:$C$17,"0")</f>
        <v>1.05</v>
      </c>
      <c r="G396" s="9" t="str">
        <f>_xlfn.XLOOKUP(F396, 'Control Panel'!$B$20:$B$26,'Control Panel'!$C$20:$C$26,"0")</f>
        <v>0</v>
      </c>
      <c r="H396">
        <v>0</v>
      </c>
      <c r="I396">
        <f t="shared" si="5"/>
        <v>1.3125</v>
      </c>
      <c r="J396">
        <f>MAX(300,SUM('Control Panel'!$B$1*I396))</f>
        <v>393.75</v>
      </c>
    </row>
    <row r="397" spans="1:10" x14ac:dyDescent="0.25">
      <c r="A397" s="5">
        <v>46405</v>
      </c>
      <c r="B397" s="7" t="s">
        <v>11</v>
      </c>
      <c r="C397" s="9" t="s">
        <v>6</v>
      </c>
      <c r="D397">
        <f>_xlfn.XLOOKUP(C397, 'Control Panel'!$B$4:$B$8,'Control Panel'!$C$4:$C$8,"0")</f>
        <v>1.25</v>
      </c>
      <c r="E397">
        <f>_xlfn.XLOOKUP(B397, 'Control Panel'!$B$11:$B$17,'Control Panel'!$C$11:$C$17,"0")</f>
        <v>0.95</v>
      </c>
      <c r="G397" s="9" t="str">
        <f>_xlfn.XLOOKUP(F397, 'Control Panel'!$B$20:$B$26,'Control Panel'!$C$20:$C$26,"0")</f>
        <v>0</v>
      </c>
      <c r="H397">
        <v>0</v>
      </c>
      <c r="I397">
        <f t="shared" si="5"/>
        <v>1.1875</v>
      </c>
      <c r="J397">
        <f>MAX(300,SUM('Control Panel'!$B$1*I397))</f>
        <v>356.25</v>
      </c>
    </row>
    <row r="398" spans="1:10" x14ac:dyDescent="0.25">
      <c r="A398" s="5">
        <v>46406</v>
      </c>
      <c r="B398" s="7" t="s">
        <v>12</v>
      </c>
      <c r="C398" s="9" t="s">
        <v>6</v>
      </c>
      <c r="D398">
        <f>_xlfn.XLOOKUP(C398, 'Control Panel'!$B$4:$B$8,'Control Panel'!$C$4:$C$8,"0")</f>
        <v>1.25</v>
      </c>
      <c r="E398">
        <f>_xlfn.XLOOKUP(B398, 'Control Panel'!$B$11:$B$17,'Control Panel'!$C$11:$C$17,"0")</f>
        <v>0.95</v>
      </c>
      <c r="G398" s="9" t="str">
        <f>_xlfn.XLOOKUP(F398, 'Control Panel'!$B$20:$B$26,'Control Panel'!$C$20:$C$26,"0")</f>
        <v>0</v>
      </c>
      <c r="H398">
        <v>0</v>
      </c>
      <c r="I398">
        <f t="shared" si="5"/>
        <v>1.1875</v>
      </c>
      <c r="J398">
        <f>MAX(300,SUM('Control Panel'!$B$1*I398))</f>
        <v>356.25</v>
      </c>
    </row>
    <row r="399" spans="1:10" x14ac:dyDescent="0.25">
      <c r="A399" s="5">
        <v>46407</v>
      </c>
      <c r="B399" s="7" t="s">
        <v>13</v>
      </c>
      <c r="C399" s="9" t="s">
        <v>6</v>
      </c>
      <c r="D399">
        <f>_xlfn.XLOOKUP(C399, 'Control Panel'!$B$4:$B$8,'Control Panel'!$C$4:$C$8,"0")</f>
        <v>1.25</v>
      </c>
      <c r="E399">
        <f>_xlfn.XLOOKUP(B399, 'Control Panel'!$B$11:$B$17,'Control Panel'!$C$11:$C$17,"0")</f>
        <v>0.95</v>
      </c>
      <c r="G399" s="9" t="str">
        <f>_xlfn.XLOOKUP(F399, 'Control Panel'!$B$20:$B$26,'Control Panel'!$C$20:$C$26,"0")</f>
        <v>0</v>
      </c>
      <c r="H399">
        <v>0</v>
      </c>
      <c r="I399">
        <f t="shared" si="5"/>
        <v>1.1875</v>
      </c>
      <c r="J399">
        <f>MAX(300,SUM('Control Panel'!$B$1*I399))</f>
        <v>356.25</v>
      </c>
    </row>
    <row r="400" spans="1:10" x14ac:dyDescent="0.25">
      <c r="A400" s="5">
        <v>46408</v>
      </c>
      <c r="B400" s="7" t="s">
        <v>5</v>
      </c>
      <c r="C400" s="9" t="s">
        <v>6</v>
      </c>
      <c r="D400">
        <f>_xlfn.XLOOKUP(C400, 'Control Panel'!$B$4:$B$8,'Control Panel'!$C$4:$C$8,"0")</f>
        <v>1.25</v>
      </c>
      <c r="E400">
        <f>_xlfn.XLOOKUP(B400, 'Control Panel'!$B$11:$B$17,'Control Panel'!$C$11:$C$17,"0")</f>
        <v>0.95</v>
      </c>
      <c r="G400" s="9" t="str">
        <f>_xlfn.XLOOKUP(F400, 'Control Panel'!$B$20:$B$26,'Control Panel'!$C$20:$C$26,"0")</f>
        <v>0</v>
      </c>
      <c r="H400">
        <v>0</v>
      </c>
      <c r="I400">
        <f t="shared" si="5"/>
        <v>1.1875</v>
      </c>
      <c r="J400">
        <f>MAX(300,SUM('Control Panel'!$B$1*I400))</f>
        <v>356.25</v>
      </c>
    </row>
    <row r="401" spans="1:10" x14ac:dyDescent="0.25">
      <c r="A401" s="5">
        <v>46409</v>
      </c>
      <c r="B401" s="7" t="s">
        <v>8</v>
      </c>
      <c r="C401" s="9" t="s">
        <v>6</v>
      </c>
      <c r="D401">
        <f>_xlfn.XLOOKUP(C401, 'Control Panel'!$B$4:$B$8,'Control Panel'!$C$4:$C$8,"0")</f>
        <v>1.25</v>
      </c>
      <c r="E401">
        <f>_xlfn.XLOOKUP(B401, 'Control Panel'!$B$11:$B$17,'Control Panel'!$C$11:$C$17,"0")</f>
        <v>1.1000000000000001</v>
      </c>
      <c r="G401" s="9" t="str">
        <f>_xlfn.XLOOKUP(F401, 'Control Panel'!$B$20:$B$26,'Control Panel'!$C$20:$C$26,"0")</f>
        <v>0</v>
      </c>
      <c r="H401">
        <v>0</v>
      </c>
      <c r="I401">
        <f t="shared" ref="I401:I466" si="6">(D401*E401)+G401+H401</f>
        <v>1.375</v>
      </c>
      <c r="J401">
        <f>MAX(300,SUM('Control Panel'!$B$1*I401))</f>
        <v>412.5</v>
      </c>
    </row>
    <row r="402" spans="1:10" x14ac:dyDescent="0.25">
      <c r="A402" s="5">
        <v>46410</v>
      </c>
      <c r="B402" s="7" t="s">
        <v>9</v>
      </c>
      <c r="C402" s="9" t="s">
        <v>6</v>
      </c>
      <c r="D402">
        <f>_xlfn.XLOOKUP(C402, 'Control Panel'!$B$4:$B$8,'Control Panel'!$C$4:$C$8,"0")</f>
        <v>1.25</v>
      </c>
      <c r="E402">
        <f>_xlfn.XLOOKUP(B402, 'Control Panel'!$B$11:$B$17,'Control Panel'!$C$11:$C$17,"0")</f>
        <v>1.25</v>
      </c>
      <c r="G402" s="9" t="str">
        <f>_xlfn.XLOOKUP(F402, 'Control Panel'!$B$20:$B$26,'Control Panel'!$C$20:$C$26,"0")</f>
        <v>0</v>
      </c>
      <c r="H402">
        <v>0</v>
      </c>
      <c r="I402">
        <f t="shared" si="6"/>
        <v>1.5625</v>
      </c>
      <c r="J402">
        <f>MAX(300,SUM('Control Panel'!$B$1*I402))</f>
        <v>468.75</v>
      </c>
    </row>
    <row r="403" spans="1:10" x14ac:dyDescent="0.25">
      <c r="A403" s="5">
        <v>46411</v>
      </c>
      <c r="B403" s="7" t="s">
        <v>10</v>
      </c>
      <c r="C403" s="9" t="s">
        <v>6</v>
      </c>
      <c r="D403">
        <f>_xlfn.XLOOKUP(C403, 'Control Panel'!$B$4:$B$8,'Control Panel'!$C$4:$C$8,"0")</f>
        <v>1.25</v>
      </c>
      <c r="E403">
        <f>_xlfn.XLOOKUP(B403, 'Control Panel'!$B$11:$B$17,'Control Panel'!$C$11:$C$17,"0")</f>
        <v>1.05</v>
      </c>
      <c r="G403" s="9" t="str">
        <f>_xlfn.XLOOKUP(F403, 'Control Panel'!$B$20:$B$26,'Control Panel'!$C$20:$C$26,"0")</f>
        <v>0</v>
      </c>
      <c r="H403">
        <v>0</v>
      </c>
      <c r="I403">
        <f t="shared" si="6"/>
        <v>1.3125</v>
      </c>
      <c r="J403">
        <f>MAX(300,SUM('Control Panel'!$B$1*I403))</f>
        <v>393.75</v>
      </c>
    </row>
    <row r="404" spans="1:10" x14ac:dyDescent="0.25">
      <c r="A404" s="5">
        <v>46412</v>
      </c>
      <c r="B404" s="7" t="s">
        <v>11</v>
      </c>
      <c r="C404" s="9" t="s">
        <v>6</v>
      </c>
      <c r="D404">
        <f>_xlfn.XLOOKUP(C404, 'Control Panel'!$B$4:$B$8,'Control Panel'!$C$4:$C$8,"0")</f>
        <v>1.25</v>
      </c>
      <c r="E404">
        <f>_xlfn.XLOOKUP(B404, 'Control Panel'!$B$11:$B$17,'Control Panel'!$C$11:$C$17,"0")</f>
        <v>0.95</v>
      </c>
      <c r="G404" s="9" t="str">
        <f>_xlfn.XLOOKUP(F404, 'Control Panel'!$B$20:$B$26,'Control Panel'!$C$20:$C$26,"0")</f>
        <v>0</v>
      </c>
      <c r="H404">
        <v>0</v>
      </c>
      <c r="I404">
        <f t="shared" si="6"/>
        <v>1.1875</v>
      </c>
      <c r="J404">
        <f>MAX(300,SUM('Control Panel'!$B$1*I404))</f>
        <v>356.25</v>
      </c>
    </row>
    <row r="405" spans="1:10" x14ac:dyDescent="0.25">
      <c r="A405" s="5">
        <v>46413</v>
      </c>
      <c r="B405" s="7" t="s">
        <v>12</v>
      </c>
      <c r="C405" s="9" t="s">
        <v>6</v>
      </c>
      <c r="D405">
        <f>_xlfn.XLOOKUP(C405, 'Control Panel'!$B$4:$B$8,'Control Panel'!$C$4:$C$8,"0")</f>
        <v>1.25</v>
      </c>
      <c r="E405">
        <f>_xlfn.XLOOKUP(B405, 'Control Panel'!$B$11:$B$17,'Control Panel'!$C$11:$C$17,"0")</f>
        <v>0.95</v>
      </c>
      <c r="G405" s="9" t="str">
        <f>_xlfn.XLOOKUP(F405, 'Control Panel'!$B$20:$B$26,'Control Panel'!$C$20:$C$26,"0")</f>
        <v>0</v>
      </c>
      <c r="H405">
        <v>0</v>
      </c>
      <c r="I405">
        <f t="shared" si="6"/>
        <v>1.1875</v>
      </c>
      <c r="J405">
        <f>MAX(300,SUM('Control Panel'!$B$1*I405))</f>
        <v>356.25</v>
      </c>
    </row>
    <row r="406" spans="1:10" x14ac:dyDescent="0.25">
      <c r="A406" s="5">
        <v>46414</v>
      </c>
      <c r="B406" s="7" t="s">
        <v>13</v>
      </c>
      <c r="C406" s="9" t="s">
        <v>6</v>
      </c>
      <c r="D406">
        <f>_xlfn.XLOOKUP(C406, 'Control Panel'!$B$4:$B$8,'Control Panel'!$C$4:$C$8,"0")</f>
        <v>1.25</v>
      </c>
      <c r="E406">
        <f>_xlfn.XLOOKUP(B406, 'Control Panel'!$B$11:$B$17,'Control Panel'!$C$11:$C$17,"0")</f>
        <v>0.95</v>
      </c>
      <c r="G406" s="9" t="str">
        <f>_xlfn.XLOOKUP(F406, 'Control Panel'!$B$20:$B$26,'Control Panel'!$C$20:$C$26,"0")</f>
        <v>0</v>
      </c>
      <c r="H406">
        <v>0</v>
      </c>
      <c r="I406">
        <f t="shared" si="6"/>
        <v>1.1875</v>
      </c>
      <c r="J406">
        <f>MAX(300,SUM('Control Panel'!$B$1*I406))</f>
        <v>356.25</v>
      </c>
    </row>
    <row r="407" spans="1:10" x14ac:dyDescent="0.25">
      <c r="A407" s="5">
        <v>46415</v>
      </c>
      <c r="B407" s="7" t="s">
        <v>5</v>
      </c>
      <c r="C407" s="9" t="s">
        <v>6</v>
      </c>
      <c r="D407">
        <f>_xlfn.XLOOKUP(C407, 'Control Panel'!$B$4:$B$8,'Control Panel'!$C$4:$C$8,"0")</f>
        <v>1.25</v>
      </c>
      <c r="E407">
        <f>_xlfn.XLOOKUP(B407, 'Control Panel'!$B$11:$B$17,'Control Panel'!$C$11:$C$17,"0")</f>
        <v>0.95</v>
      </c>
      <c r="G407" s="9" t="str">
        <f>_xlfn.XLOOKUP(F407, 'Control Panel'!$B$20:$B$26,'Control Panel'!$C$20:$C$26,"0")</f>
        <v>0</v>
      </c>
      <c r="H407">
        <v>0</v>
      </c>
      <c r="I407">
        <f t="shared" si="6"/>
        <v>1.1875</v>
      </c>
      <c r="J407">
        <f>MAX(300,SUM('Control Panel'!$B$1*I407))</f>
        <v>356.25</v>
      </c>
    </row>
    <row r="408" spans="1:10" x14ac:dyDescent="0.25">
      <c r="A408" s="5">
        <v>46416</v>
      </c>
      <c r="B408" s="7" t="s">
        <v>8</v>
      </c>
      <c r="C408" s="9" t="s">
        <v>6</v>
      </c>
      <c r="D408">
        <f>_xlfn.XLOOKUP(C408, 'Control Panel'!$B$4:$B$8,'Control Panel'!$C$4:$C$8,"0")</f>
        <v>1.25</v>
      </c>
      <c r="E408">
        <f>_xlfn.XLOOKUP(B408, 'Control Panel'!$B$11:$B$17,'Control Panel'!$C$11:$C$17,"0")</f>
        <v>1.1000000000000001</v>
      </c>
      <c r="G408" s="9" t="str">
        <f>_xlfn.XLOOKUP(F408, 'Control Panel'!$B$20:$B$26,'Control Panel'!$C$20:$C$26,"0")</f>
        <v>0</v>
      </c>
      <c r="H408">
        <v>0</v>
      </c>
      <c r="I408">
        <f t="shared" si="6"/>
        <v>1.375</v>
      </c>
      <c r="J408">
        <f>MAX(300,SUM('Control Panel'!$B$1*I408))</f>
        <v>412.5</v>
      </c>
    </row>
    <row r="409" spans="1:10" x14ac:dyDescent="0.25">
      <c r="A409" s="5">
        <v>46417</v>
      </c>
      <c r="B409" s="7" t="s">
        <v>9</v>
      </c>
      <c r="C409" s="9" t="s">
        <v>6</v>
      </c>
      <c r="D409">
        <f>_xlfn.XLOOKUP(C409, 'Control Panel'!$B$4:$B$8,'Control Panel'!$C$4:$C$8,"0")</f>
        <v>1.25</v>
      </c>
      <c r="E409">
        <f>_xlfn.XLOOKUP(B409, 'Control Panel'!$B$11:$B$17,'Control Panel'!$C$11:$C$17,"0")</f>
        <v>1.25</v>
      </c>
      <c r="G409" s="9" t="str">
        <f>_xlfn.XLOOKUP(F409, 'Control Panel'!$B$20:$B$26,'Control Panel'!$C$20:$C$26,"0")</f>
        <v>0</v>
      </c>
      <c r="H409">
        <v>0</v>
      </c>
      <c r="I409">
        <f t="shared" si="6"/>
        <v>1.5625</v>
      </c>
      <c r="J409">
        <f>MAX(300,SUM('Control Panel'!$B$1*I409))</f>
        <v>468.75</v>
      </c>
    </row>
    <row r="410" spans="1:10" x14ac:dyDescent="0.25">
      <c r="A410" s="5">
        <v>46418</v>
      </c>
      <c r="B410" s="7" t="s">
        <v>10</v>
      </c>
      <c r="C410" s="9" t="s">
        <v>6</v>
      </c>
      <c r="D410">
        <f>_xlfn.XLOOKUP(C410, 'Control Panel'!$B$4:$B$8,'Control Panel'!$C$4:$C$8,"0")</f>
        <v>1.25</v>
      </c>
      <c r="E410">
        <f>_xlfn.XLOOKUP(B410, 'Control Panel'!$B$11:$B$17,'Control Panel'!$C$11:$C$17,"0")</f>
        <v>1.05</v>
      </c>
      <c r="G410" s="9" t="str">
        <f>_xlfn.XLOOKUP(F410, 'Control Panel'!$B$20:$B$26,'Control Panel'!$C$20:$C$26,"0")</f>
        <v>0</v>
      </c>
      <c r="H410">
        <v>0</v>
      </c>
      <c r="I410">
        <f t="shared" si="6"/>
        <v>1.3125</v>
      </c>
      <c r="J410">
        <f>MAX(300,SUM('Control Panel'!$B$1*I410))</f>
        <v>393.75</v>
      </c>
    </row>
    <row r="411" spans="1:10" x14ac:dyDescent="0.25">
      <c r="A411" s="10" t="s">
        <v>33</v>
      </c>
      <c r="B411" s="13"/>
      <c r="C411" s="14"/>
      <c r="G411" s="9" t="str">
        <f>_xlfn.XLOOKUP(F411, 'Control Panel'!$B$20:$B$26,'Control Panel'!$C$20:$C$26,"0")</f>
        <v>0</v>
      </c>
    </row>
    <row r="412" spans="1:10" x14ac:dyDescent="0.25">
      <c r="A412" s="5">
        <v>46419</v>
      </c>
      <c r="B412" s="7" t="s">
        <v>11</v>
      </c>
      <c r="C412" s="9" t="s">
        <v>6</v>
      </c>
      <c r="D412">
        <f>_xlfn.XLOOKUP(C412, 'Control Panel'!$B$4:$B$8,'Control Panel'!$C$4:$C$8,"0")</f>
        <v>1.25</v>
      </c>
      <c r="E412">
        <f>_xlfn.XLOOKUP(B412, 'Control Panel'!$B$11:$B$17,'Control Panel'!$C$11:$C$17,"0")</f>
        <v>0.95</v>
      </c>
      <c r="G412" s="9" t="str">
        <f>_xlfn.XLOOKUP(F412, 'Control Panel'!$B$20:$B$26,'Control Panel'!$C$20:$C$26,"0")</f>
        <v>0</v>
      </c>
      <c r="H412">
        <v>0</v>
      </c>
      <c r="I412">
        <f t="shared" si="6"/>
        <v>1.1875</v>
      </c>
      <c r="J412">
        <f>MAX(300,SUM('Control Panel'!$B$1*I412))</f>
        <v>356.25</v>
      </c>
    </row>
    <row r="413" spans="1:10" x14ac:dyDescent="0.25">
      <c r="A413" s="5">
        <v>46420</v>
      </c>
      <c r="B413" s="7" t="s">
        <v>12</v>
      </c>
      <c r="C413" s="9" t="s">
        <v>6</v>
      </c>
      <c r="D413">
        <f>_xlfn.XLOOKUP(C413, 'Control Panel'!$B$4:$B$8,'Control Panel'!$C$4:$C$8,"0")</f>
        <v>1.25</v>
      </c>
      <c r="E413">
        <f>_xlfn.XLOOKUP(B413, 'Control Panel'!$B$11:$B$17,'Control Panel'!$C$11:$C$17,"0")</f>
        <v>0.95</v>
      </c>
      <c r="G413" s="9" t="str">
        <f>_xlfn.XLOOKUP(F413, 'Control Panel'!$B$20:$B$26,'Control Panel'!$C$20:$C$26,"0")</f>
        <v>0</v>
      </c>
      <c r="H413">
        <v>0</v>
      </c>
      <c r="I413">
        <f t="shared" si="6"/>
        <v>1.1875</v>
      </c>
      <c r="J413">
        <f>MAX(300,SUM('Control Panel'!$B$1*I413))</f>
        <v>356.25</v>
      </c>
    </row>
    <row r="414" spans="1:10" x14ac:dyDescent="0.25">
      <c r="A414" s="5">
        <v>46421</v>
      </c>
      <c r="B414" s="7" t="s">
        <v>13</v>
      </c>
      <c r="C414" s="9" t="s">
        <v>6</v>
      </c>
      <c r="D414">
        <f>_xlfn.XLOOKUP(C414, 'Control Panel'!$B$4:$B$8,'Control Panel'!$C$4:$C$8,"0")</f>
        <v>1.25</v>
      </c>
      <c r="E414">
        <f>_xlfn.XLOOKUP(B414, 'Control Panel'!$B$11:$B$17,'Control Panel'!$C$11:$C$17,"0")</f>
        <v>0.95</v>
      </c>
      <c r="G414" s="9" t="str">
        <f>_xlfn.XLOOKUP(F414, 'Control Panel'!$B$20:$B$26,'Control Panel'!$C$20:$C$26,"0")</f>
        <v>0</v>
      </c>
      <c r="H414">
        <v>0</v>
      </c>
      <c r="I414">
        <f t="shared" si="6"/>
        <v>1.1875</v>
      </c>
      <c r="J414">
        <f>MAX(300,SUM('Control Panel'!$B$1*I414))</f>
        <v>356.25</v>
      </c>
    </row>
    <row r="415" spans="1:10" x14ac:dyDescent="0.25">
      <c r="A415" s="5">
        <v>46422</v>
      </c>
      <c r="B415" s="7" t="s">
        <v>5</v>
      </c>
      <c r="C415" s="9" t="s">
        <v>6</v>
      </c>
      <c r="D415">
        <f>_xlfn.XLOOKUP(C415, 'Control Panel'!$B$4:$B$8,'Control Panel'!$C$4:$C$8,"0")</f>
        <v>1.25</v>
      </c>
      <c r="E415">
        <f>_xlfn.XLOOKUP(B415, 'Control Panel'!$B$11:$B$17,'Control Panel'!$C$11:$C$17,"0")</f>
        <v>0.95</v>
      </c>
      <c r="G415" s="9" t="str">
        <f>_xlfn.XLOOKUP(F415, 'Control Panel'!$B$20:$B$26,'Control Panel'!$C$20:$C$26,"0")</f>
        <v>0</v>
      </c>
      <c r="H415">
        <v>0</v>
      </c>
      <c r="I415">
        <f t="shared" si="6"/>
        <v>1.1875</v>
      </c>
      <c r="J415">
        <f>MAX(300,SUM('Control Panel'!$B$1*I415))</f>
        <v>356.25</v>
      </c>
    </row>
    <row r="416" spans="1:10" x14ac:dyDescent="0.25">
      <c r="A416" s="5">
        <v>46423</v>
      </c>
      <c r="B416" s="7" t="s">
        <v>8</v>
      </c>
      <c r="C416" s="9" t="s">
        <v>6</v>
      </c>
      <c r="D416">
        <f>_xlfn.XLOOKUP(C416, 'Control Panel'!$B$4:$B$8,'Control Panel'!$C$4:$C$8,"0")</f>
        <v>1.25</v>
      </c>
      <c r="E416">
        <f>_xlfn.XLOOKUP(B416, 'Control Panel'!$B$11:$B$17,'Control Panel'!$C$11:$C$17,"0")</f>
        <v>1.1000000000000001</v>
      </c>
      <c r="G416" s="9" t="str">
        <f>_xlfn.XLOOKUP(F416, 'Control Panel'!$B$20:$B$26,'Control Panel'!$C$20:$C$26,"0")</f>
        <v>0</v>
      </c>
      <c r="H416">
        <v>0</v>
      </c>
      <c r="I416">
        <f t="shared" si="6"/>
        <v>1.375</v>
      </c>
      <c r="J416">
        <f>MAX(300,SUM('Control Panel'!$B$1*I416))</f>
        <v>412.5</v>
      </c>
    </row>
    <row r="417" spans="1:10" x14ac:dyDescent="0.25">
      <c r="A417" s="5">
        <v>46424</v>
      </c>
      <c r="B417" s="7" t="s">
        <v>9</v>
      </c>
      <c r="C417" s="9" t="s">
        <v>6</v>
      </c>
      <c r="D417">
        <f>_xlfn.XLOOKUP(C417, 'Control Panel'!$B$4:$B$8,'Control Panel'!$C$4:$C$8,"0")</f>
        <v>1.25</v>
      </c>
      <c r="E417">
        <f>_xlfn.XLOOKUP(B417, 'Control Panel'!$B$11:$B$17,'Control Panel'!$C$11:$C$17,"0")</f>
        <v>1.25</v>
      </c>
      <c r="G417" s="9" t="str">
        <f>_xlfn.XLOOKUP(F417, 'Control Panel'!$B$20:$B$26,'Control Panel'!$C$20:$C$26,"0")</f>
        <v>0</v>
      </c>
      <c r="H417">
        <v>0</v>
      </c>
      <c r="I417">
        <f t="shared" si="6"/>
        <v>1.5625</v>
      </c>
      <c r="J417">
        <f>MAX(300,SUM('Control Panel'!$B$1*I417))</f>
        <v>468.75</v>
      </c>
    </row>
    <row r="418" spans="1:10" x14ac:dyDescent="0.25">
      <c r="A418" s="5">
        <v>46425</v>
      </c>
      <c r="B418" s="7" t="s">
        <v>10</v>
      </c>
      <c r="C418" s="9" t="s">
        <v>6</v>
      </c>
      <c r="D418">
        <f>_xlfn.XLOOKUP(C418, 'Control Panel'!$B$4:$B$8,'Control Panel'!$C$4:$C$8,"0")</f>
        <v>1.25</v>
      </c>
      <c r="E418">
        <f>_xlfn.XLOOKUP(B418, 'Control Panel'!$B$11:$B$17,'Control Panel'!$C$11:$C$17,"0")</f>
        <v>1.05</v>
      </c>
      <c r="G418" s="9" t="str">
        <f>_xlfn.XLOOKUP(F418, 'Control Panel'!$B$20:$B$26,'Control Panel'!$C$20:$C$26,"0")</f>
        <v>0</v>
      </c>
      <c r="H418">
        <v>0</v>
      </c>
      <c r="I418">
        <f t="shared" si="6"/>
        <v>1.3125</v>
      </c>
      <c r="J418">
        <f>MAX(300,SUM('Control Panel'!$B$1*I418))</f>
        <v>393.75</v>
      </c>
    </row>
    <row r="419" spans="1:10" x14ac:dyDescent="0.25">
      <c r="A419" s="5">
        <v>46426</v>
      </c>
      <c r="B419" s="7" t="s">
        <v>11</v>
      </c>
      <c r="C419" s="9" t="s">
        <v>6</v>
      </c>
      <c r="D419">
        <f>_xlfn.XLOOKUP(C419, 'Control Panel'!$B$4:$B$8,'Control Panel'!$C$4:$C$8,"0")</f>
        <v>1.25</v>
      </c>
      <c r="E419">
        <f>_xlfn.XLOOKUP(B419, 'Control Panel'!$B$11:$B$17,'Control Panel'!$C$11:$C$17,"0")</f>
        <v>0.95</v>
      </c>
      <c r="G419" s="9" t="str">
        <f>_xlfn.XLOOKUP(F419, 'Control Panel'!$B$20:$B$26,'Control Panel'!$C$20:$C$26,"0")</f>
        <v>0</v>
      </c>
      <c r="H419">
        <v>0</v>
      </c>
      <c r="I419">
        <f t="shared" si="6"/>
        <v>1.1875</v>
      </c>
      <c r="J419">
        <f>MAX(300,SUM('Control Panel'!$B$1*I419))</f>
        <v>356.25</v>
      </c>
    </row>
    <row r="420" spans="1:10" x14ac:dyDescent="0.25">
      <c r="A420" s="5">
        <v>46427</v>
      </c>
      <c r="B420" s="7" t="s">
        <v>12</v>
      </c>
      <c r="C420" s="9" t="s">
        <v>6</v>
      </c>
      <c r="D420">
        <f>_xlfn.XLOOKUP(C420, 'Control Panel'!$B$4:$B$8,'Control Panel'!$C$4:$C$8,"0")</f>
        <v>1.25</v>
      </c>
      <c r="E420">
        <f>_xlfn.XLOOKUP(B420, 'Control Panel'!$B$11:$B$17,'Control Panel'!$C$11:$C$17,"0")</f>
        <v>0.95</v>
      </c>
      <c r="G420" s="9" t="str">
        <f>_xlfn.XLOOKUP(F420, 'Control Panel'!$B$20:$B$26,'Control Panel'!$C$20:$C$26,"0")</f>
        <v>0</v>
      </c>
      <c r="H420">
        <v>0</v>
      </c>
      <c r="I420">
        <f t="shared" si="6"/>
        <v>1.1875</v>
      </c>
      <c r="J420">
        <f>MAX(300,SUM('Control Panel'!$B$1*I420))</f>
        <v>356.25</v>
      </c>
    </row>
    <row r="421" spans="1:10" x14ac:dyDescent="0.25">
      <c r="A421" s="5">
        <v>46428</v>
      </c>
      <c r="B421" s="7" t="s">
        <v>13</v>
      </c>
      <c r="C421" s="9" t="s">
        <v>6</v>
      </c>
      <c r="D421">
        <f>_xlfn.XLOOKUP(C421, 'Control Panel'!$B$4:$B$8,'Control Panel'!$C$4:$C$8,"0")</f>
        <v>1.25</v>
      </c>
      <c r="E421">
        <f>_xlfn.XLOOKUP(B421, 'Control Panel'!$B$11:$B$17,'Control Panel'!$C$11:$C$17,"0")</f>
        <v>0.95</v>
      </c>
      <c r="G421" s="9" t="str">
        <f>_xlfn.XLOOKUP(F421, 'Control Panel'!$B$20:$B$26,'Control Panel'!$C$20:$C$26,"0")</f>
        <v>0</v>
      </c>
      <c r="H421">
        <v>0</v>
      </c>
      <c r="I421">
        <f t="shared" si="6"/>
        <v>1.1875</v>
      </c>
      <c r="J421">
        <f>MAX(300,SUM('Control Panel'!$B$1*I421))</f>
        <v>356.25</v>
      </c>
    </row>
    <row r="422" spans="1:10" x14ac:dyDescent="0.25">
      <c r="A422" s="5">
        <v>46429</v>
      </c>
      <c r="B422" s="7" t="s">
        <v>5</v>
      </c>
      <c r="C422" s="9" t="s">
        <v>6</v>
      </c>
      <c r="D422">
        <f>_xlfn.XLOOKUP(C422, 'Control Panel'!$B$4:$B$8,'Control Panel'!$C$4:$C$8,"0")</f>
        <v>1.25</v>
      </c>
      <c r="E422">
        <f>_xlfn.XLOOKUP(B422, 'Control Panel'!$B$11:$B$17,'Control Panel'!$C$11:$C$17,"0")</f>
        <v>0.95</v>
      </c>
      <c r="G422" s="9" t="str">
        <f>_xlfn.XLOOKUP(F422, 'Control Panel'!$B$20:$B$26,'Control Panel'!$C$20:$C$26,"0")</f>
        <v>0</v>
      </c>
      <c r="H422">
        <v>0</v>
      </c>
      <c r="I422">
        <f t="shared" si="6"/>
        <v>1.1875</v>
      </c>
      <c r="J422">
        <f>MAX(300,SUM('Control Panel'!$B$1*I422))</f>
        <v>356.25</v>
      </c>
    </row>
    <row r="423" spans="1:10" x14ac:dyDescent="0.25">
      <c r="A423" s="5">
        <v>46430</v>
      </c>
      <c r="B423" s="7" t="s">
        <v>8</v>
      </c>
      <c r="C423" s="9" t="s">
        <v>6</v>
      </c>
      <c r="D423">
        <f>_xlfn.XLOOKUP(C423, 'Control Panel'!$B$4:$B$8,'Control Panel'!$C$4:$C$8,"0")</f>
        <v>1.25</v>
      </c>
      <c r="E423">
        <f>_xlfn.XLOOKUP(B423, 'Control Panel'!$B$11:$B$17,'Control Panel'!$C$11:$C$17,"0")</f>
        <v>1.1000000000000001</v>
      </c>
      <c r="G423" s="9" t="str">
        <f>_xlfn.XLOOKUP(F423, 'Control Panel'!$B$20:$B$26,'Control Panel'!$C$20:$C$26,"0")</f>
        <v>0</v>
      </c>
      <c r="H423">
        <v>0</v>
      </c>
      <c r="I423">
        <f t="shared" si="6"/>
        <v>1.375</v>
      </c>
      <c r="J423">
        <f>MAX(300,SUM('Control Panel'!$B$1*I423))</f>
        <v>412.5</v>
      </c>
    </row>
    <row r="424" spans="1:10" x14ac:dyDescent="0.25">
      <c r="A424" s="5">
        <v>46431</v>
      </c>
      <c r="B424" s="7" t="s">
        <v>9</v>
      </c>
      <c r="C424" s="9" t="s">
        <v>6</v>
      </c>
      <c r="D424">
        <f>_xlfn.XLOOKUP(C424, 'Control Panel'!$B$4:$B$8,'Control Panel'!$C$4:$C$8,"0")</f>
        <v>1.25</v>
      </c>
      <c r="E424">
        <f>_xlfn.XLOOKUP(B424, 'Control Panel'!$B$11:$B$17,'Control Panel'!$C$11:$C$17,"0")</f>
        <v>1.25</v>
      </c>
      <c r="G424" s="9" t="str">
        <f>_xlfn.XLOOKUP(F424, 'Control Panel'!$B$20:$B$26,'Control Panel'!$C$20:$C$26,"0")</f>
        <v>0</v>
      </c>
      <c r="H424">
        <v>0</v>
      </c>
      <c r="I424">
        <f t="shared" si="6"/>
        <v>1.5625</v>
      </c>
      <c r="J424">
        <f>MAX(300,SUM('Control Panel'!$B$1*I424))</f>
        <v>468.75</v>
      </c>
    </row>
    <row r="425" spans="1:10" x14ac:dyDescent="0.25">
      <c r="A425" s="5">
        <v>46432</v>
      </c>
      <c r="B425" s="7" t="s">
        <v>10</v>
      </c>
      <c r="C425" s="9" t="s">
        <v>6</v>
      </c>
      <c r="D425">
        <f>_xlfn.XLOOKUP(C425, 'Control Panel'!$B$4:$B$8,'Control Panel'!$C$4:$C$8,"0")</f>
        <v>1.25</v>
      </c>
      <c r="E425">
        <f>_xlfn.XLOOKUP(B425, 'Control Panel'!$B$11:$B$17,'Control Panel'!$C$11:$C$17,"0")</f>
        <v>1.05</v>
      </c>
      <c r="G425" s="9" t="str">
        <f>_xlfn.XLOOKUP(F425, 'Control Panel'!$B$20:$B$26,'Control Panel'!$C$20:$C$26,"0")</f>
        <v>0</v>
      </c>
      <c r="H425">
        <v>0</v>
      </c>
      <c r="I425">
        <f t="shared" si="6"/>
        <v>1.3125</v>
      </c>
      <c r="J425">
        <f>MAX(300,SUM('Control Panel'!$B$1*I425))</f>
        <v>393.75</v>
      </c>
    </row>
    <row r="426" spans="1:10" x14ac:dyDescent="0.25">
      <c r="A426" s="5">
        <v>46433</v>
      </c>
      <c r="B426" s="7" t="s">
        <v>11</v>
      </c>
      <c r="C426" s="9" t="s">
        <v>6</v>
      </c>
      <c r="D426">
        <f>_xlfn.XLOOKUP(C426, 'Control Panel'!$B$4:$B$8,'Control Panel'!$C$4:$C$8,"0")</f>
        <v>1.25</v>
      </c>
      <c r="E426">
        <f>_xlfn.XLOOKUP(B426, 'Control Panel'!$B$11:$B$17,'Control Panel'!$C$11:$C$17,"0")</f>
        <v>0.95</v>
      </c>
      <c r="G426" s="9" t="str">
        <f>_xlfn.XLOOKUP(F426, 'Control Panel'!$B$20:$B$26,'Control Panel'!$C$20:$C$26,"0")</f>
        <v>0</v>
      </c>
      <c r="H426">
        <v>0</v>
      </c>
      <c r="I426">
        <f t="shared" si="6"/>
        <v>1.1875</v>
      </c>
      <c r="J426">
        <f>MAX(300,SUM('Control Panel'!$B$1*I426))</f>
        <v>356.25</v>
      </c>
    </row>
    <row r="427" spans="1:10" x14ac:dyDescent="0.25">
      <c r="A427" s="5">
        <v>46434</v>
      </c>
      <c r="B427" s="7" t="s">
        <v>12</v>
      </c>
      <c r="C427" s="9" t="s">
        <v>6</v>
      </c>
      <c r="D427">
        <f>_xlfn.XLOOKUP(C427, 'Control Panel'!$B$4:$B$8,'Control Panel'!$C$4:$C$8,"0")</f>
        <v>1.25</v>
      </c>
      <c r="E427">
        <f>_xlfn.XLOOKUP(B427, 'Control Panel'!$B$11:$B$17,'Control Panel'!$C$11:$C$17,"0")</f>
        <v>0.95</v>
      </c>
      <c r="G427" s="9" t="str">
        <f>_xlfn.XLOOKUP(F427, 'Control Panel'!$B$20:$B$26,'Control Panel'!$C$20:$C$26,"0")</f>
        <v>0</v>
      </c>
      <c r="H427">
        <v>0</v>
      </c>
      <c r="I427">
        <f t="shared" si="6"/>
        <v>1.1875</v>
      </c>
      <c r="J427">
        <f>MAX(300,SUM('Control Panel'!$B$1*I427))</f>
        <v>356.25</v>
      </c>
    </row>
    <row r="428" spans="1:10" x14ac:dyDescent="0.25">
      <c r="A428" s="5">
        <v>46435</v>
      </c>
      <c r="B428" s="7" t="s">
        <v>13</v>
      </c>
      <c r="C428" s="9" t="s">
        <v>6</v>
      </c>
      <c r="D428">
        <f>_xlfn.XLOOKUP(C428, 'Control Panel'!$B$4:$B$8,'Control Panel'!$C$4:$C$8,"0")</f>
        <v>1.25</v>
      </c>
      <c r="E428">
        <f>_xlfn.XLOOKUP(B428, 'Control Panel'!$B$11:$B$17,'Control Panel'!$C$11:$C$17,"0")</f>
        <v>0.95</v>
      </c>
      <c r="G428" s="9" t="str">
        <f>_xlfn.XLOOKUP(F428, 'Control Panel'!$B$20:$B$26,'Control Panel'!$C$20:$C$26,"0")</f>
        <v>0</v>
      </c>
      <c r="H428">
        <v>0</v>
      </c>
      <c r="I428">
        <f t="shared" si="6"/>
        <v>1.1875</v>
      </c>
      <c r="J428">
        <f>MAX(300,SUM('Control Panel'!$B$1*I428))</f>
        <v>356.25</v>
      </c>
    </row>
    <row r="429" spans="1:10" x14ac:dyDescent="0.25">
      <c r="A429" s="5">
        <v>46436</v>
      </c>
      <c r="B429" s="7" t="s">
        <v>5</v>
      </c>
      <c r="C429" s="9" t="s">
        <v>6</v>
      </c>
      <c r="D429">
        <f>_xlfn.XLOOKUP(C429, 'Control Panel'!$B$4:$B$8,'Control Panel'!$C$4:$C$8,"0")</f>
        <v>1.25</v>
      </c>
      <c r="E429">
        <f>_xlfn.XLOOKUP(B429, 'Control Panel'!$B$11:$B$17,'Control Panel'!$C$11:$C$17,"0")</f>
        <v>0.95</v>
      </c>
      <c r="G429" s="9" t="str">
        <f>_xlfn.XLOOKUP(F429, 'Control Panel'!$B$20:$B$26,'Control Panel'!$C$20:$C$26,"0")</f>
        <v>0</v>
      </c>
      <c r="H429">
        <v>0</v>
      </c>
      <c r="I429">
        <f t="shared" si="6"/>
        <v>1.1875</v>
      </c>
      <c r="J429">
        <f>MAX(300,SUM('Control Panel'!$B$1*I429))</f>
        <v>356.25</v>
      </c>
    </row>
    <row r="430" spans="1:10" x14ac:dyDescent="0.25">
      <c r="A430" s="5">
        <v>46437</v>
      </c>
      <c r="B430" s="7" t="s">
        <v>8</v>
      </c>
      <c r="C430" s="9" t="s">
        <v>6</v>
      </c>
      <c r="D430">
        <f>_xlfn.XLOOKUP(C430, 'Control Panel'!$B$4:$B$8,'Control Panel'!$C$4:$C$8,"0")</f>
        <v>1.25</v>
      </c>
      <c r="E430">
        <f>_xlfn.XLOOKUP(B430, 'Control Panel'!$B$11:$B$17,'Control Panel'!$C$11:$C$17,"0")</f>
        <v>1.1000000000000001</v>
      </c>
      <c r="G430" s="9" t="str">
        <f>_xlfn.XLOOKUP(F430, 'Control Panel'!$B$20:$B$26,'Control Panel'!$C$20:$C$26,"0")</f>
        <v>0</v>
      </c>
      <c r="H430">
        <v>0</v>
      </c>
      <c r="I430">
        <f t="shared" si="6"/>
        <v>1.375</v>
      </c>
      <c r="J430">
        <f>MAX(300,SUM('Control Panel'!$B$1*I430))</f>
        <v>412.5</v>
      </c>
    </row>
    <row r="431" spans="1:10" x14ac:dyDescent="0.25">
      <c r="A431" s="5">
        <v>46438</v>
      </c>
      <c r="B431" s="7" t="s">
        <v>9</v>
      </c>
      <c r="C431" s="9" t="s">
        <v>6</v>
      </c>
      <c r="D431">
        <f>_xlfn.XLOOKUP(C431, 'Control Panel'!$B$4:$B$8,'Control Panel'!$C$4:$C$8,"0")</f>
        <v>1.25</v>
      </c>
      <c r="E431">
        <f>_xlfn.XLOOKUP(B431, 'Control Panel'!$B$11:$B$17,'Control Panel'!$C$11:$C$17,"0")</f>
        <v>1.25</v>
      </c>
      <c r="G431" s="9" t="str">
        <f>_xlfn.XLOOKUP(F431, 'Control Panel'!$B$20:$B$26,'Control Panel'!$C$20:$C$26,"0")</f>
        <v>0</v>
      </c>
      <c r="H431">
        <v>0</v>
      </c>
      <c r="I431">
        <f t="shared" si="6"/>
        <v>1.5625</v>
      </c>
      <c r="J431">
        <f>MAX(300,SUM('Control Panel'!$B$1*I431))</f>
        <v>468.75</v>
      </c>
    </row>
    <row r="432" spans="1:10" x14ac:dyDescent="0.25">
      <c r="A432" s="5">
        <v>46439</v>
      </c>
      <c r="B432" s="7" t="s">
        <v>10</v>
      </c>
      <c r="C432" s="9" t="s">
        <v>6</v>
      </c>
      <c r="D432">
        <f>_xlfn.XLOOKUP(C432, 'Control Panel'!$B$4:$B$8,'Control Panel'!$C$4:$C$8,"0")</f>
        <v>1.25</v>
      </c>
      <c r="E432">
        <f>_xlfn.XLOOKUP(B432, 'Control Panel'!$B$11:$B$17,'Control Panel'!$C$11:$C$17,"0")</f>
        <v>1.05</v>
      </c>
      <c r="G432" s="9" t="str">
        <f>_xlfn.XLOOKUP(F432, 'Control Panel'!$B$20:$B$26,'Control Panel'!$C$20:$C$26,"0")</f>
        <v>0</v>
      </c>
      <c r="H432">
        <v>0</v>
      </c>
      <c r="I432">
        <f t="shared" si="6"/>
        <v>1.3125</v>
      </c>
      <c r="J432">
        <f>MAX(300,SUM('Control Panel'!$B$1*I432))</f>
        <v>393.75</v>
      </c>
    </row>
    <row r="433" spans="1:10" x14ac:dyDescent="0.25">
      <c r="A433" s="5">
        <v>46440</v>
      </c>
      <c r="B433" s="7" t="s">
        <v>11</v>
      </c>
      <c r="C433" s="9" t="s">
        <v>6</v>
      </c>
      <c r="D433">
        <f>_xlfn.XLOOKUP(C433, 'Control Panel'!$B$4:$B$8,'Control Panel'!$C$4:$C$8,"0")</f>
        <v>1.25</v>
      </c>
      <c r="E433">
        <f>_xlfn.XLOOKUP(B433, 'Control Panel'!$B$11:$B$17,'Control Panel'!$C$11:$C$17,"0")</f>
        <v>0.95</v>
      </c>
      <c r="G433" s="9" t="str">
        <f>_xlfn.XLOOKUP(F433, 'Control Panel'!$B$20:$B$26,'Control Panel'!$C$20:$C$26,"0")</f>
        <v>0</v>
      </c>
      <c r="H433">
        <v>0</v>
      </c>
      <c r="I433">
        <f t="shared" si="6"/>
        <v>1.1875</v>
      </c>
      <c r="J433">
        <f>MAX(300,SUM('Control Panel'!$B$1*I433))</f>
        <v>356.25</v>
      </c>
    </row>
    <row r="434" spans="1:10" x14ac:dyDescent="0.25">
      <c r="A434" s="5">
        <v>46441</v>
      </c>
      <c r="B434" s="7" t="s">
        <v>12</v>
      </c>
      <c r="C434" s="9" t="s">
        <v>6</v>
      </c>
      <c r="D434">
        <f>_xlfn.XLOOKUP(C434, 'Control Panel'!$B$4:$B$8,'Control Panel'!$C$4:$C$8,"0")</f>
        <v>1.25</v>
      </c>
      <c r="E434">
        <f>_xlfn.XLOOKUP(B434, 'Control Panel'!$B$11:$B$17,'Control Panel'!$C$11:$C$17,"0")</f>
        <v>0.95</v>
      </c>
      <c r="G434" s="9" t="str">
        <f>_xlfn.XLOOKUP(F434, 'Control Panel'!$B$20:$B$26,'Control Panel'!$C$20:$C$26,"0")</f>
        <v>0</v>
      </c>
      <c r="H434">
        <v>0</v>
      </c>
      <c r="I434">
        <f t="shared" si="6"/>
        <v>1.1875</v>
      </c>
      <c r="J434">
        <f>MAX(300,SUM('Control Panel'!$B$1*I434))</f>
        <v>356.25</v>
      </c>
    </row>
    <row r="435" spans="1:10" x14ac:dyDescent="0.25">
      <c r="A435" s="5">
        <v>46442</v>
      </c>
      <c r="B435" s="7" t="s">
        <v>13</v>
      </c>
      <c r="C435" s="9" t="s">
        <v>6</v>
      </c>
      <c r="D435">
        <f>_xlfn.XLOOKUP(C435, 'Control Panel'!$B$4:$B$8,'Control Panel'!$C$4:$C$8,"0")</f>
        <v>1.25</v>
      </c>
      <c r="E435">
        <f>_xlfn.XLOOKUP(B435, 'Control Panel'!$B$11:$B$17,'Control Panel'!$C$11:$C$17,"0")</f>
        <v>0.95</v>
      </c>
      <c r="G435" s="9" t="str">
        <f>_xlfn.XLOOKUP(F435, 'Control Panel'!$B$20:$B$26,'Control Panel'!$C$20:$C$26,"0")</f>
        <v>0</v>
      </c>
      <c r="H435">
        <v>0</v>
      </c>
      <c r="I435">
        <f t="shared" si="6"/>
        <v>1.1875</v>
      </c>
      <c r="J435">
        <f>MAX(300,SUM('Control Panel'!$B$1*I435))</f>
        <v>356.25</v>
      </c>
    </row>
    <row r="436" spans="1:10" x14ac:dyDescent="0.25">
      <c r="A436" s="5">
        <v>46443</v>
      </c>
      <c r="B436" s="7" t="s">
        <v>5</v>
      </c>
      <c r="C436" s="9" t="s">
        <v>6</v>
      </c>
      <c r="D436">
        <f>_xlfn.XLOOKUP(C436, 'Control Panel'!$B$4:$B$8,'Control Panel'!$C$4:$C$8,"0")</f>
        <v>1.25</v>
      </c>
      <c r="E436">
        <f>_xlfn.XLOOKUP(B436, 'Control Panel'!$B$11:$B$17,'Control Panel'!$C$11:$C$17,"0")</f>
        <v>0.95</v>
      </c>
      <c r="G436" s="9" t="str">
        <f>_xlfn.XLOOKUP(F436, 'Control Panel'!$B$20:$B$26,'Control Panel'!$C$20:$C$26,"0")</f>
        <v>0</v>
      </c>
      <c r="H436">
        <v>0</v>
      </c>
      <c r="I436">
        <f t="shared" si="6"/>
        <v>1.1875</v>
      </c>
      <c r="J436">
        <f>MAX(300,SUM('Control Panel'!$B$1*I436))</f>
        <v>356.25</v>
      </c>
    </row>
    <row r="437" spans="1:10" x14ac:dyDescent="0.25">
      <c r="A437" s="5">
        <v>46444</v>
      </c>
      <c r="B437" s="7" t="s">
        <v>8</v>
      </c>
      <c r="C437" s="9" t="s">
        <v>6</v>
      </c>
      <c r="D437">
        <f>_xlfn.XLOOKUP(C437, 'Control Panel'!$B$4:$B$8,'Control Panel'!$C$4:$C$8,"0")</f>
        <v>1.25</v>
      </c>
      <c r="E437">
        <f>_xlfn.XLOOKUP(B437, 'Control Panel'!$B$11:$B$17,'Control Panel'!$C$11:$C$17,"0")</f>
        <v>1.1000000000000001</v>
      </c>
      <c r="G437" s="9" t="str">
        <f>_xlfn.XLOOKUP(F437, 'Control Panel'!$B$20:$B$26,'Control Panel'!$C$20:$C$26,"0")</f>
        <v>0</v>
      </c>
      <c r="H437">
        <v>0</v>
      </c>
      <c r="I437">
        <f t="shared" si="6"/>
        <v>1.375</v>
      </c>
      <c r="J437">
        <f>MAX(300,SUM('Control Panel'!$B$1*I437))</f>
        <v>412.5</v>
      </c>
    </row>
    <row r="438" spans="1:10" x14ac:dyDescent="0.25">
      <c r="A438" s="5">
        <v>46445</v>
      </c>
      <c r="B438" s="7" t="s">
        <v>9</v>
      </c>
      <c r="C438" s="9" t="s">
        <v>6</v>
      </c>
      <c r="D438">
        <f>_xlfn.XLOOKUP(C438, 'Control Panel'!$B$4:$B$8,'Control Panel'!$C$4:$C$8,"0")</f>
        <v>1.25</v>
      </c>
      <c r="E438">
        <f>_xlfn.XLOOKUP(B438, 'Control Panel'!$B$11:$B$17,'Control Panel'!$C$11:$C$17,"0")</f>
        <v>1.25</v>
      </c>
      <c r="G438" s="9" t="str">
        <f>_xlfn.XLOOKUP(F438, 'Control Panel'!$B$20:$B$26,'Control Panel'!$C$20:$C$26,"0")</f>
        <v>0</v>
      </c>
      <c r="H438">
        <v>0</v>
      </c>
      <c r="I438">
        <f t="shared" si="6"/>
        <v>1.5625</v>
      </c>
      <c r="J438">
        <f>MAX(300,SUM('Control Panel'!$B$1*I438))</f>
        <v>468.75</v>
      </c>
    </row>
    <row r="439" spans="1:10" x14ac:dyDescent="0.25">
      <c r="A439" s="5">
        <v>46446</v>
      </c>
      <c r="B439" s="7" t="s">
        <v>10</v>
      </c>
      <c r="C439" s="9" t="s">
        <v>6</v>
      </c>
      <c r="D439">
        <f>_xlfn.XLOOKUP(C439, 'Control Panel'!$B$4:$B$8,'Control Panel'!$C$4:$C$8,"0")</f>
        <v>1.25</v>
      </c>
      <c r="E439">
        <f>_xlfn.XLOOKUP(B439, 'Control Panel'!$B$11:$B$17,'Control Panel'!$C$11:$C$17,"0")</f>
        <v>1.05</v>
      </c>
      <c r="G439" s="9" t="str">
        <f>_xlfn.XLOOKUP(F439, 'Control Panel'!$B$20:$B$26,'Control Panel'!$C$20:$C$26,"0")</f>
        <v>0</v>
      </c>
      <c r="H439">
        <v>0</v>
      </c>
      <c r="I439">
        <f t="shared" si="6"/>
        <v>1.3125</v>
      </c>
      <c r="J439">
        <f>MAX(300,SUM('Control Panel'!$B$1*I439))</f>
        <v>393.75</v>
      </c>
    </row>
    <row r="440" spans="1:10" x14ac:dyDescent="0.25">
      <c r="A440" s="10" t="s">
        <v>34</v>
      </c>
      <c r="B440" s="13"/>
      <c r="C440" s="14"/>
      <c r="G440" s="9" t="str">
        <f>_xlfn.XLOOKUP(F440, 'Control Panel'!$B$20:$B$26,'Control Panel'!$C$20:$C$26,"0")</f>
        <v>0</v>
      </c>
    </row>
    <row r="441" spans="1:10" x14ac:dyDescent="0.25">
      <c r="A441" s="5">
        <v>46447</v>
      </c>
      <c r="B441" s="7" t="s">
        <v>11</v>
      </c>
      <c r="C441" s="9" t="s">
        <v>6</v>
      </c>
      <c r="D441">
        <f>_xlfn.XLOOKUP(C441, 'Control Panel'!$B$4:$B$8,'Control Panel'!$C$4:$C$8,"0")</f>
        <v>1.25</v>
      </c>
      <c r="E441">
        <f>_xlfn.XLOOKUP(B441, 'Control Panel'!$B$11:$B$17,'Control Panel'!$C$11:$C$17,"0")</f>
        <v>0.95</v>
      </c>
      <c r="G441" s="9" t="str">
        <f>_xlfn.XLOOKUP(F441, 'Control Panel'!$B$20:$B$26,'Control Panel'!$C$20:$C$26,"0")</f>
        <v>0</v>
      </c>
      <c r="H441">
        <v>0</v>
      </c>
      <c r="I441">
        <f t="shared" si="6"/>
        <v>1.1875</v>
      </c>
      <c r="J441">
        <f>MAX(300,SUM('Control Panel'!$B$1*I441))</f>
        <v>356.25</v>
      </c>
    </row>
    <row r="442" spans="1:10" x14ac:dyDescent="0.25">
      <c r="A442" s="5">
        <v>46448</v>
      </c>
      <c r="B442" s="7" t="s">
        <v>12</v>
      </c>
      <c r="C442" s="9" t="s">
        <v>6</v>
      </c>
      <c r="D442">
        <f>_xlfn.XLOOKUP(C442, 'Control Panel'!$B$4:$B$8,'Control Panel'!$C$4:$C$8,"0")</f>
        <v>1.25</v>
      </c>
      <c r="E442">
        <f>_xlfn.XLOOKUP(B442, 'Control Panel'!$B$11:$B$17,'Control Panel'!$C$11:$C$17,"0")</f>
        <v>0.95</v>
      </c>
      <c r="G442" s="9" t="str">
        <f>_xlfn.XLOOKUP(F442, 'Control Panel'!$B$20:$B$26,'Control Panel'!$C$20:$C$26,"0")</f>
        <v>0</v>
      </c>
      <c r="H442">
        <v>0</v>
      </c>
      <c r="I442">
        <f t="shared" si="6"/>
        <v>1.1875</v>
      </c>
      <c r="J442">
        <f>MAX(300,SUM('Control Panel'!$B$1*I442))</f>
        <v>356.25</v>
      </c>
    </row>
    <row r="443" spans="1:10" x14ac:dyDescent="0.25">
      <c r="A443" s="5">
        <v>46449</v>
      </c>
      <c r="B443" s="7" t="s">
        <v>13</v>
      </c>
      <c r="C443" s="9" t="s">
        <v>6</v>
      </c>
      <c r="D443">
        <f>_xlfn.XLOOKUP(C443, 'Control Panel'!$B$4:$B$8,'Control Panel'!$C$4:$C$8,"0")</f>
        <v>1.25</v>
      </c>
      <c r="E443">
        <f>_xlfn.XLOOKUP(B443, 'Control Panel'!$B$11:$B$17,'Control Panel'!$C$11:$C$17,"0")</f>
        <v>0.95</v>
      </c>
      <c r="G443" s="9" t="str">
        <f>_xlfn.XLOOKUP(F443, 'Control Panel'!$B$20:$B$26,'Control Panel'!$C$20:$C$26,"0")</f>
        <v>0</v>
      </c>
      <c r="H443">
        <v>0</v>
      </c>
      <c r="I443">
        <f t="shared" si="6"/>
        <v>1.1875</v>
      </c>
      <c r="J443">
        <f>MAX(300,SUM('Control Panel'!$B$1*I443))</f>
        <v>356.25</v>
      </c>
    </row>
    <row r="444" spans="1:10" x14ac:dyDescent="0.25">
      <c r="A444" s="5">
        <v>46450</v>
      </c>
      <c r="B444" s="7" t="s">
        <v>5</v>
      </c>
      <c r="C444" s="9" t="s">
        <v>6</v>
      </c>
      <c r="D444">
        <f>_xlfn.XLOOKUP(C444, 'Control Panel'!$B$4:$B$8,'Control Panel'!$C$4:$C$8,"0")</f>
        <v>1.25</v>
      </c>
      <c r="E444">
        <f>_xlfn.XLOOKUP(B444, 'Control Panel'!$B$11:$B$17,'Control Panel'!$C$11:$C$17,"0")</f>
        <v>0.95</v>
      </c>
      <c r="G444" s="9" t="str">
        <f>_xlfn.XLOOKUP(F444, 'Control Panel'!$B$20:$B$26,'Control Panel'!$C$20:$C$26,"0")</f>
        <v>0</v>
      </c>
      <c r="H444">
        <v>0</v>
      </c>
      <c r="I444">
        <f t="shared" si="6"/>
        <v>1.1875</v>
      </c>
      <c r="J444">
        <f>MAX(300,SUM('Control Panel'!$B$1*I444))</f>
        <v>356.25</v>
      </c>
    </row>
    <row r="445" spans="1:10" x14ac:dyDescent="0.25">
      <c r="A445" s="5">
        <v>46451</v>
      </c>
      <c r="B445" s="7" t="s">
        <v>8</v>
      </c>
      <c r="C445" s="9" t="s">
        <v>6</v>
      </c>
      <c r="D445">
        <f>_xlfn.XLOOKUP(C445, 'Control Panel'!$B$4:$B$8,'Control Panel'!$C$4:$C$8,"0")</f>
        <v>1.25</v>
      </c>
      <c r="E445">
        <f>_xlfn.XLOOKUP(B445, 'Control Panel'!$B$11:$B$17,'Control Panel'!$C$11:$C$17,"0")</f>
        <v>1.1000000000000001</v>
      </c>
      <c r="G445" s="9" t="str">
        <f>_xlfn.XLOOKUP(F445, 'Control Panel'!$B$20:$B$26,'Control Panel'!$C$20:$C$26,"0")</f>
        <v>0</v>
      </c>
      <c r="H445">
        <v>0</v>
      </c>
      <c r="I445">
        <f t="shared" si="6"/>
        <v>1.375</v>
      </c>
      <c r="J445">
        <f>MAX(300,SUM('Control Panel'!$B$1*I445))</f>
        <v>412.5</v>
      </c>
    </row>
    <row r="446" spans="1:10" x14ac:dyDescent="0.25">
      <c r="A446" s="5">
        <v>46452</v>
      </c>
      <c r="B446" s="7" t="s">
        <v>9</v>
      </c>
      <c r="C446" s="9" t="s">
        <v>6</v>
      </c>
      <c r="D446">
        <f>_xlfn.XLOOKUP(C446, 'Control Panel'!$B$4:$B$8,'Control Panel'!$C$4:$C$8,"0")</f>
        <v>1.25</v>
      </c>
      <c r="E446">
        <f>_xlfn.XLOOKUP(B446, 'Control Panel'!$B$11:$B$17,'Control Panel'!$C$11:$C$17,"0")</f>
        <v>1.25</v>
      </c>
      <c r="G446" s="9" t="str">
        <f>_xlfn.XLOOKUP(F446, 'Control Panel'!$B$20:$B$26,'Control Panel'!$C$20:$C$26,"0")</f>
        <v>0</v>
      </c>
      <c r="H446">
        <v>0</v>
      </c>
      <c r="I446">
        <f t="shared" si="6"/>
        <v>1.5625</v>
      </c>
      <c r="J446">
        <f>MAX(300,SUM('Control Panel'!$B$1*I446))</f>
        <v>468.75</v>
      </c>
    </row>
    <row r="447" spans="1:10" x14ac:dyDescent="0.25">
      <c r="A447" s="5">
        <v>46453</v>
      </c>
      <c r="B447" s="7" t="s">
        <v>10</v>
      </c>
      <c r="C447" s="9" t="s">
        <v>6</v>
      </c>
      <c r="D447">
        <f>_xlfn.XLOOKUP(C447, 'Control Panel'!$B$4:$B$8,'Control Panel'!$C$4:$C$8,"0")</f>
        <v>1.25</v>
      </c>
      <c r="E447">
        <f>_xlfn.XLOOKUP(B447, 'Control Panel'!$B$11:$B$17,'Control Panel'!$C$11:$C$17,"0")</f>
        <v>1.05</v>
      </c>
      <c r="G447" s="9" t="str">
        <f>_xlfn.XLOOKUP(F447, 'Control Panel'!$B$20:$B$26,'Control Panel'!$C$20:$C$26,"0")</f>
        <v>0</v>
      </c>
      <c r="H447">
        <v>0</v>
      </c>
      <c r="I447">
        <f t="shared" si="6"/>
        <v>1.3125</v>
      </c>
      <c r="J447">
        <f>MAX(300,SUM('Control Panel'!$B$1*I447))</f>
        <v>393.75</v>
      </c>
    </row>
    <row r="448" spans="1:10" x14ac:dyDescent="0.25">
      <c r="A448" s="5">
        <v>46454</v>
      </c>
      <c r="B448" s="7" t="s">
        <v>11</v>
      </c>
      <c r="C448" s="9" t="s">
        <v>6</v>
      </c>
      <c r="D448">
        <f>_xlfn.XLOOKUP(C448, 'Control Panel'!$B$4:$B$8,'Control Panel'!$C$4:$C$8,"0")</f>
        <v>1.25</v>
      </c>
      <c r="E448">
        <f>_xlfn.XLOOKUP(B448, 'Control Panel'!$B$11:$B$17,'Control Panel'!$C$11:$C$17,"0")</f>
        <v>0.95</v>
      </c>
      <c r="G448" s="9" t="str">
        <f>_xlfn.XLOOKUP(F448, 'Control Panel'!$B$20:$B$26,'Control Panel'!$C$20:$C$26,"0")</f>
        <v>0</v>
      </c>
      <c r="H448">
        <v>0</v>
      </c>
      <c r="I448">
        <f t="shared" si="6"/>
        <v>1.1875</v>
      </c>
      <c r="J448">
        <f>MAX(300,SUM('Control Panel'!$B$1*I448))</f>
        <v>356.25</v>
      </c>
    </row>
    <row r="449" spans="1:10" x14ac:dyDescent="0.25">
      <c r="A449" s="5">
        <v>46455</v>
      </c>
      <c r="B449" s="7" t="s">
        <v>12</v>
      </c>
      <c r="C449" s="9" t="s">
        <v>6</v>
      </c>
      <c r="D449">
        <f>_xlfn.XLOOKUP(C449, 'Control Panel'!$B$4:$B$8,'Control Panel'!$C$4:$C$8,"0")</f>
        <v>1.25</v>
      </c>
      <c r="E449">
        <f>_xlfn.XLOOKUP(B449, 'Control Panel'!$B$11:$B$17,'Control Panel'!$C$11:$C$17,"0")</f>
        <v>0.95</v>
      </c>
      <c r="G449" s="9" t="str">
        <f>_xlfn.XLOOKUP(F449, 'Control Panel'!$B$20:$B$26,'Control Panel'!$C$20:$C$26,"0")</f>
        <v>0</v>
      </c>
      <c r="H449">
        <v>0</v>
      </c>
      <c r="I449">
        <f t="shared" si="6"/>
        <v>1.1875</v>
      </c>
      <c r="J449">
        <f>MAX(300,SUM('Control Panel'!$B$1*I449))</f>
        <v>356.25</v>
      </c>
    </row>
    <row r="450" spans="1:10" x14ac:dyDescent="0.25">
      <c r="A450" s="5">
        <v>46456</v>
      </c>
      <c r="B450" s="7" t="s">
        <v>13</v>
      </c>
      <c r="C450" s="9" t="s">
        <v>6</v>
      </c>
      <c r="D450">
        <f>_xlfn.XLOOKUP(C450, 'Control Panel'!$B$4:$B$8,'Control Panel'!$C$4:$C$8,"0")</f>
        <v>1.25</v>
      </c>
      <c r="E450">
        <f>_xlfn.XLOOKUP(B450, 'Control Panel'!$B$11:$B$17,'Control Panel'!$C$11:$C$17,"0")</f>
        <v>0.95</v>
      </c>
      <c r="G450" s="9" t="str">
        <f>_xlfn.XLOOKUP(F450, 'Control Panel'!$B$20:$B$26,'Control Panel'!$C$20:$C$26,"0")</f>
        <v>0</v>
      </c>
      <c r="H450">
        <v>0</v>
      </c>
      <c r="I450">
        <f t="shared" si="6"/>
        <v>1.1875</v>
      </c>
      <c r="J450">
        <f>MAX(300,SUM('Control Panel'!$B$1*I450))</f>
        <v>356.25</v>
      </c>
    </row>
    <row r="451" spans="1:10" x14ac:dyDescent="0.25">
      <c r="A451" s="5">
        <v>46457</v>
      </c>
      <c r="B451" s="7" t="s">
        <v>5</v>
      </c>
      <c r="C451" s="9" t="s">
        <v>6</v>
      </c>
      <c r="D451">
        <f>_xlfn.XLOOKUP(C451, 'Control Panel'!$B$4:$B$8,'Control Panel'!$C$4:$C$8,"0")</f>
        <v>1.25</v>
      </c>
      <c r="E451">
        <f>_xlfn.XLOOKUP(B451, 'Control Panel'!$B$11:$B$17,'Control Panel'!$C$11:$C$17,"0")</f>
        <v>0.95</v>
      </c>
      <c r="G451" s="9" t="str">
        <f>_xlfn.XLOOKUP(F451, 'Control Panel'!$B$20:$B$26,'Control Panel'!$C$20:$C$26,"0")</f>
        <v>0</v>
      </c>
      <c r="H451">
        <v>0</v>
      </c>
      <c r="I451">
        <f t="shared" si="6"/>
        <v>1.1875</v>
      </c>
      <c r="J451">
        <f>MAX(300,SUM('Control Panel'!$B$1*I451))</f>
        <v>356.25</v>
      </c>
    </row>
    <row r="452" spans="1:10" x14ac:dyDescent="0.25">
      <c r="A452" s="5">
        <v>46458</v>
      </c>
      <c r="B452" s="7" t="s">
        <v>8</v>
      </c>
      <c r="C452" s="9" t="s">
        <v>6</v>
      </c>
      <c r="D452">
        <f>_xlfn.XLOOKUP(C452, 'Control Panel'!$B$4:$B$8,'Control Panel'!$C$4:$C$8,"0")</f>
        <v>1.25</v>
      </c>
      <c r="E452">
        <f>_xlfn.XLOOKUP(B452, 'Control Panel'!$B$11:$B$17,'Control Panel'!$C$11:$C$17,"0")</f>
        <v>1.1000000000000001</v>
      </c>
      <c r="G452" s="9" t="str">
        <f>_xlfn.XLOOKUP(F452, 'Control Panel'!$B$20:$B$26,'Control Panel'!$C$20:$C$26,"0")</f>
        <v>0</v>
      </c>
      <c r="H452">
        <v>0</v>
      </c>
      <c r="I452">
        <f t="shared" si="6"/>
        <v>1.375</v>
      </c>
      <c r="J452">
        <f>MAX(300,SUM('Control Panel'!$B$1*I452))</f>
        <v>412.5</v>
      </c>
    </row>
    <row r="453" spans="1:10" x14ac:dyDescent="0.25">
      <c r="A453" s="5">
        <v>46459</v>
      </c>
      <c r="B453" s="7" t="s">
        <v>9</v>
      </c>
      <c r="C453" s="9" t="s">
        <v>6</v>
      </c>
      <c r="D453">
        <f>_xlfn.XLOOKUP(C453, 'Control Panel'!$B$4:$B$8,'Control Panel'!$C$4:$C$8,"0")</f>
        <v>1.25</v>
      </c>
      <c r="E453">
        <f>_xlfn.XLOOKUP(B453, 'Control Panel'!$B$11:$B$17,'Control Panel'!$C$11:$C$17,"0")</f>
        <v>1.25</v>
      </c>
      <c r="G453" s="9" t="str">
        <f>_xlfn.XLOOKUP(F453, 'Control Panel'!$B$20:$B$26,'Control Panel'!$C$20:$C$26,"0")</f>
        <v>0</v>
      </c>
      <c r="H453">
        <v>0</v>
      </c>
      <c r="I453">
        <f t="shared" si="6"/>
        <v>1.5625</v>
      </c>
      <c r="J453">
        <f>MAX(300,SUM('Control Panel'!$B$1*I453))</f>
        <v>468.75</v>
      </c>
    </row>
    <row r="454" spans="1:10" x14ac:dyDescent="0.25">
      <c r="A454" s="5">
        <v>46460</v>
      </c>
      <c r="B454" s="7" t="s">
        <v>10</v>
      </c>
      <c r="C454" s="9" t="s">
        <v>6</v>
      </c>
      <c r="D454">
        <f>_xlfn.XLOOKUP(C454, 'Control Panel'!$B$4:$B$8,'Control Panel'!$C$4:$C$8,"0")</f>
        <v>1.25</v>
      </c>
      <c r="E454">
        <f>_xlfn.XLOOKUP(B454, 'Control Panel'!$B$11:$B$17,'Control Panel'!$C$11:$C$17,"0")</f>
        <v>1.05</v>
      </c>
      <c r="G454" s="9" t="str">
        <f>_xlfn.XLOOKUP(F454, 'Control Panel'!$B$20:$B$26,'Control Panel'!$C$20:$C$26,"0")</f>
        <v>0</v>
      </c>
      <c r="H454">
        <v>0</v>
      </c>
      <c r="I454">
        <f t="shared" si="6"/>
        <v>1.3125</v>
      </c>
      <c r="J454">
        <f>MAX(300,SUM('Control Panel'!$B$1*I454))</f>
        <v>393.75</v>
      </c>
    </row>
    <row r="455" spans="1:10" x14ac:dyDescent="0.25">
      <c r="A455" s="5">
        <v>46461</v>
      </c>
      <c r="B455" s="7" t="s">
        <v>11</v>
      </c>
      <c r="C455" s="9" t="s">
        <v>6</v>
      </c>
      <c r="D455">
        <f>_xlfn.XLOOKUP(C455, 'Control Panel'!$B$4:$B$8,'Control Panel'!$C$4:$C$8,"0")</f>
        <v>1.25</v>
      </c>
      <c r="E455">
        <f>_xlfn.XLOOKUP(B455, 'Control Panel'!$B$11:$B$17,'Control Panel'!$C$11:$C$17,"0")</f>
        <v>0.95</v>
      </c>
      <c r="G455" s="9" t="str">
        <f>_xlfn.XLOOKUP(F455, 'Control Panel'!$B$20:$B$26,'Control Panel'!$C$20:$C$26,"0")</f>
        <v>0</v>
      </c>
      <c r="H455">
        <v>0</v>
      </c>
      <c r="I455">
        <f t="shared" si="6"/>
        <v>1.1875</v>
      </c>
      <c r="J455">
        <f>MAX(300,SUM('Control Panel'!$B$1*I455))</f>
        <v>356.25</v>
      </c>
    </row>
    <row r="456" spans="1:10" x14ac:dyDescent="0.25">
      <c r="A456" s="5">
        <v>46462</v>
      </c>
      <c r="B456" s="7" t="s">
        <v>12</v>
      </c>
      <c r="C456" s="9" t="s">
        <v>14</v>
      </c>
      <c r="D456">
        <f>_xlfn.XLOOKUP(C456, 'Control Panel'!$B$4:$B$8,'Control Panel'!$C$4:$C$8,"0")</f>
        <v>0.85</v>
      </c>
      <c r="E456">
        <f>_xlfn.XLOOKUP(B456, 'Control Panel'!$B$11:$B$17,'Control Panel'!$C$11:$C$17,"0")</f>
        <v>0.95</v>
      </c>
      <c r="G456" s="9" t="str">
        <f>_xlfn.XLOOKUP(F456, 'Control Panel'!$B$20:$B$26,'Control Panel'!$C$20:$C$26,"0")</f>
        <v>0</v>
      </c>
      <c r="H456">
        <v>0</v>
      </c>
      <c r="I456">
        <f t="shared" si="6"/>
        <v>0.8075</v>
      </c>
      <c r="J456">
        <f>MAX(300,SUM('Control Panel'!$B$1*I456))</f>
        <v>300</v>
      </c>
    </row>
    <row r="457" spans="1:10" x14ac:dyDescent="0.25">
      <c r="A457" s="5">
        <v>46463</v>
      </c>
      <c r="B457" s="7" t="s">
        <v>13</v>
      </c>
      <c r="C457" s="9" t="s">
        <v>14</v>
      </c>
      <c r="D457">
        <f>_xlfn.XLOOKUP(C457, 'Control Panel'!$B$4:$B$8,'Control Panel'!$C$4:$C$8,"0")</f>
        <v>0.85</v>
      </c>
      <c r="E457">
        <f>_xlfn.XLOOKUP(B457, 'Control Panel'!$B$11:$B$17,'Control Panel'!$C$11:$C$17,"0")</f>
        <v>0.95</v>
      </c>
      <c r="G457" s="9" t="str">
        <f>_xlfn.XLOOKUP(F457, 'Control Panel'!$B$20:$B$26,'Control Panel'!$C$20:$C$26,"0")</f>
        <v>0</v>
      </c>
      <c r="H457">
        <v>0</v>
      </c>
      <c r="I457">
        <f t="shared" si="6"/>
        <v>0.8075</v>
      </c>
      <c r="J457">
        <f>MAX(300,SUM('Control Panel'!$B$1*I457))</f>
        <v>300</v>
      </c>
    </row>
    <row r="458" spans="1:10" x14ac:dyDescent="0.25">
      <c r="A458" s="5">
        <v>46464</v>
      </c>
      <c r="B458" s="7" t="s">
        <v>5</v>
      </c>
      <c r="C458" s="9" t="s">
        <v>14</v>
      </c>
      <c r="D458">
        <f>_xlfn.XLOOKUP(C458, 'Control Panel'!$B$4:$B$8,'Control Panel'!$C$4:$C$8,"0")</f>
        <v>0.85</v>
      </c>
      <c r="E458">
        <f>_xlfn.XLOOKUP(B458, 'Control Panel'!$B$11:$B$17,'Control Panel'!$C$11:$C$17,"0")</f>
        <v>0.95</v>
      </c>
      <c r="G458" s="9" t="str">
        <f>_xlfn.XLOOKUP(F458, 'Control Panel'!$B$20:$B$26,'Control Panel'!$C$20:$C$26,"0")</f>
        <v>0</v>
      </c>
      <c r="H458">
        <v>0</v>
      </c>
      <c r="I458">
        <f t="shared" si="6"/>
        <v>0.8075</v>
      </c>
      <c r="J458">
        <f>MAX(300,SUM('Control Panel'!$B$1*I458))</f>
        <v>300</v>
      </c>
    </row>
    <row r="459" spans="1:10" x14ac:dyDescent="0.25">
      <c r="A459" s="5">
        <v>46465</v>
      </c>
      <c r="B459" s="7" t="s">
        <v>8</v>
      </c>
      <c r="C459" s="9" t="s">
        <v>14</v>
      </c>
      <c r="D459">
        <f>_xlfn.XLOOKUP(C459, 'Control Panel'!$B$4:$B$8,'Control Panel'!$C$4:$C$8,"0")</f>
        <v>0.85</v>
      </c>
      <c r="E459">
        <f>_xlfn.XLOOKUP(B459, 'Control Panel'!$B$11:$B$17,'Control Panel'!$C$11:$C$17,"0")</f>
        <v>1.1000000000000001</v>
      </c>
      <c r="G459" s="9" t="str">
        <f>_xlfn.XLOOKUP(F459, 'Control Panel'!$B$20:$B$26,'Control Panel'!$C$20:$C$26,"0")</f>
        <v>0</v>
      </c>
      <c r="H459">
        <v>0</v>
      </c>
      <c r="I459">
        <f t="shared" si="6"/>
        <v>0.93500000000000005</v>
      </c>
      <c r="J459">
        <f>MAX(300,SUM('Control Panel'!$B$1*I459))</f>
        <v>300</v>
      </c>
    </row>
    <row r="460" spans="1:10" x14ac:dyDescent="0.25">
      <c r="A460" s="5">
        <v>46466</v>
      </c>
      <c r="B460" s="7" t="s">
        <v>9</v>
      </c>
      <c r="C460" s="9" t="s">
        <v>14</v>
      </c>
      <c r="D460">
        <f>_xlfn.XLOOKUP(C460, 'Control Panel'!$B$4:$B$8,'Control Panel'!$C$4:$C$8,"0")</f>
        <v>0.85</v>
      </c>
      <c r="E460">
        <f>_xlfn.XLOOKUP(B460, 'Control Panel'!$B$11:$B$17,'Control Panel'!$C$11:$C$17,"0")</f>
        <v>1.25</v>
      </c>
      <c r="G460" s="9" t="str">
        <f>_xlfn.XLOOKUP(F460, 'Control Panel'!$B$20:$B$26,'Control Panel'!$C$20:$C$26,"0")</f>
        <v>0</v>
      </c>
      <c r="H460">
        <v>0</v>
      </c>
      <c r="I460">
        <f t="shared" si="6"/>
        <v>1.0625</v>
      </c>
      <c r="J460">
        <f>MAX(300,SUM('Control Panel'!$B$1*I460))</f>
        <v>318.75</v>
      </c>
    </row>
    <row r="461" spans="1:10" x14ac:dyDescent="0.25">
      <c r="A461" s="5">
        <v>46467</v>
      </c>
      <c r="B461" s="7" t="s">
        <v>10</v>
      </c>
      <c r="C461" s="9" t="s">
        <v>14</v>
      </c>
      <c r="D461">
        <f>_xlfn.XLOOKUP(C461, 'Control Panel'!$B$4:$B$8,'Control Panel'!$C$4:$C$8,"0")</f>
        <v>0.85</v>
      </c>
      <c r="E461">
        <f>_xlfn.XLOOKUP(B461, 'Control Panel'!$B$11:$B$17,'Control Panel'!$C$11:$C$17,"0")</f>
        <v>1.05</v>
      </c>
      <c r="G461" s="9" t="str">
        <f>_xlfn.XLOOKUP(F461, 'Control Panel'!$B$20:$B$26,'Control Panel'!$C$20:$C$26,"0")</f>
        <v>0</v>
      </c>
      <c r="H461">
        <v>0</v>
      </c>
      <c r="I461">
        <f t="shared" si="6"/>
        <v>0.89249999999999996</v>
      </c>
      <c r="J461">
        <f>MAX(300,SUM('Control Panel'!$B$1*I461))</f>
        <v>300</v>
      </c>
    </row>
    <row r="462" spans="1:10" x14ac:dyDescent="0.25">
      <c r="A462" s="5">
        <v>46468</v>
      </c>
      <c r="B462" s="7" t="s">
        <v>11</v>
      </c>
      <c r="C462" s="9" t="s">
        <v>14</v>
      </c>
      <c r="D462">
        <f>_xlfn.XLOOKUP(C462, 'Control Panel'!$B$4:$B$8,'Control Panel'!$C$4:$C$8,"0")</f>
        <v>0.85</v>
      </c>
      <c r="E462">
        <f>_xlfn.XLOOKUP(B462, 'Control Panel'!$B$11:$B$17,'Control Panel'!$C$11:$C$17,"0")</f>
        <v>0.95</v>
      </c>
      <c r="G462" s="9" t="str">
        <f>_xlfn.XLOOKUP(F462, 'Control Panel'!$B$20:$B$26,'Control Panel'!$C$20:$C$26,"0")</f>
        <v>0</v>
      </c>
      <c r="H462">
        <v>0</v>
      </c>
      <c r="I462">
        <f t="shared" si="6"/>
        <v>0.8075</v>
      </c>
      <c r="J462">
        <f>MAX(300,SUM('Control Panel'!$B$1*I462))</f>
        <v>300</v>
      </c>
    </row>
    <row r="463" spans="1:10" x14ac:dyDescent="0.25">
      <c r="A463" s="5">
        <v>46469</v>
      </c>
      <c r="B463" s="7" t="s">
        <v>12</v>
      </c>
      <c r="C463" s="9" t="s">
        <v>14</v>
      </c>
      <c r="D463">
        <f>_xlfn.XLOOKUP(C463, 'Control Panel'!$B$4:$B$8,'Control Panel'!$C$4:$C$8,"0")</f>
        <v>0.85</v>
      </c>
      <c r="E463">
        <f>_xlfn.XLOOKUP(B463, 'Control Panel'!$B$11:$B$17,'Control Panel'!$C$11:$C$17,"0")</f>
        <v>0.95</v>
      </c>
      <c r="G463" s="9" t="str">
        <f>_xlfn.XLOOKUP(F463, 'Control Panel'!$B$20:$B$26,'Control Panel'!$C$20:$C$26,"0")</f>
        <v>0</v>
      </c>
      <c r="H463">
        <v>0</v>
      </c>
      <c r="I463">
        <f t="shared" si="6"/>
        <v>0.8075</v>
      </c>
      <c r="J463">
        <f>MAX(300,SUM('Control Panel'!$B$1*I463))</f>
        <v>300</v>
      </c>
    </row>
    <row r="464" spans="1:10" x14ac:dyDescent="0.25">
      <c r="A464" s="5">
        <v>46470</v>
      </c>
      <c r="B464" s="7" t="s">
        <v>13</v>
      </c>
      <c r="C464" s="9" t="s">
        <v>14</v>
      </c>
      <c r="D464">
        <f>_xlfn.XLOOKUP(C464, 'Control Panel'!$B$4:$B$8,'Control Panel'!$C$4:$C$8,"0")</f>
        <v>0.85</v>
      </c>
      <c r="E464">
        <f>_xlfn.XLOOKUP(B464, 'Control Panel'!$B$11:$B$17,'Control Panel'!$C$11:$C$17,"0")</f>
        <v>0.95</v>
      </c>
      <c r="G464" s="9" t="str">
        <f>_xlfn.XLOOKUP(F464, 'Control Panel'!$B$20:$B$26,'Control Panel'!$C$20:$C$26,"0")</f>
        <v>0</v>
      </c>
      <c r="H464">
        <v>0</v>
      </c>
      <c r="I464">
        <f t="shared" si="6"/>
        <v>0.8075</v>
      </c>
      <c r="J464">
        <f>MAX(300,SUM('Control Panel'!$B$1*I464))</f>
        <v>300</v>
      </c>
    </row>
    <row r="465" spans="1:10" x14ac:dyDescent="0.25">
      <c r="A465" s="5">
        <v>46471</v>
      </c>
      <c r="B465" s="7" t="s">
        <v>5</v>
      </c>
      <c r="C465" s="9" t="s">
        <v>14</v>
      </c>
      <c r="D465">
        <f>_xlfn.XLOOKUP(C465, 'Control Panel'!$B$4:$B$8,'Control Panel'!$C$4:$C$8,"0")</f>
        <v>0.85</v>
      </c>
      <c r="E465">
        <f>_xlfn.XLOOKUP(B465, 'Control Panel'!$B$11:$B$17,'Control Panel'!$C$11:$C$17,"0")</f>
        <v>0.95</v>
      </c>
      <c r="G465" s="9" t="str">
        <f>_xlfn.XLOOKUP(F465, 'Control Panel'!$B$20:$B$26,'Control Panel'!$C$20:$C$26,"0")</f>
        <v>0</v>
      </c>
      <c r="H465">
        <v>0</v>
      </c>
      <c r="I465">
        <f t="shared" si="6"/>
        <v>0.8075</v>
      </c>
      <c r="J465">
        <f>MAX(300,SUM('Control Panel'!$B$1*I465))</f>
        <v>300</v>
      </c>
    </row>
    <row r="466" spans="1:10" x14ac:dyDescent="0.25">
      <c r="A466" s="5">
        <v>46472</v>
      </c>
      <c r="B466" s="7" t="s">
        <v>8</v>
      </c>
      <c r="C466" s="9" t="s">
        <v>14</v>
      </c>
      <c r="D466">
        <f>_xlfn.XLOOKUP(C466, 'Control Panel'!$B$4:$B$8,'Control Panel'!$C$4:$C$8,"0")</f>
        <v>0.85</v>
      </c>
      <c r="E466">
        <f>_xlfn.XLOOKUP(B466, 'Control Panel'!$B$11:$B$17,'Control Panel'!$C$11:$C$17,"0")</f>
        <v>1.1000000000000001</v>
      </c>
      <c r="G466" s="9" t="str">
        <f>_xlfn.XLOOKUP(F466, 'Control Panel'!$B$20:$B$26,'Control Panel'!$C$20:$C$26,"0")</f>
        <v>0</v>
      </c>
      <c r="H466">
        <v>0</v>
      </c>
      <c r="I466">
        <f t="shared" si="6"/>
        <v>0.93500000000000005</v>
      </c>
      <c r="J466">
        <f>MAX(300,SUM('Control Panel'!$B$1*I466))</f>
        <v>300</v>
      </c>
    </row>
    <row r="467" spans="1:10" x14ac:dyDescent="0.25">
      <c r="A467" s="5">
        <v>46473</v>
      </c>
      <c r="B467" s="7" t="s">
        <v>9</v>
      </c>
      <c r="C467" s="9" t="s">
        <v>14</v>
      </c>
      <c r="D467">
        <f>_xlfn.XLOOKUP(C467, 'Control Panel'!$B$4:$B$8,'Control Panel'!$C$4:$C$8,"0")</f>
        <v>0.85</v>
      </c>
      <c r="E467">
        <f>_xlfn.XLOOKUP(B467, 'Control Panel'!$B$11:$B$17,'Control Panel'!$C$11:$C$17,"0")</f>
        <v>1.25</v>
      </c>
      <c r="G467" s="9" t="str">
        <f>_xlfn.XLOOKUP(F467, 'Control Panel'!$B$20:$B$26,'Control Panel'!$C$20:$C$26,"0")</f>
        <v>0</v>
      </c>
      <c r="H467">
        <v>0</v>
      </c>
      <c r="I467">
        <f t="shared" ref="I467:I532" si="7">(D467*E467)+G467+H467</f>
        <v>1.0625</v>
      </c>
      <c r="J467">
        <f>MAX(300,SUM('Control Panel'!$B$1*I467))</f>
        <v>318.75</v>
      </c>
    </row>
    <row r="468" spans="1:10" x14ac:dyDescent="0.25">
      <c r="A468" s="5">
        <v>46474</v>
      </c>
      <c r="B468" s="7" t="s">
        <v>10</v>
      </c>
      <c r="C468" s="9" t="s">
        <v>14</v>
      </c>
      <c r="D468">
        <f>_xlfn.XLOOKUP(C468, 'Control Panel'!$B$4:$B$8,'Control Panel'!$C$4:$C$8,"0")</f>
        <v>0.85</v>
      </c>
      <c r="E468">
        <f>_xlfn.XLOOKUP(B468, 'Control Panel'!$B$11:$B$17,'Control Panel'!$C$11:$C$17,"0")</f>
        <v>1.05</v>
      </c>
      <c r="G468" s="9" t="str">
        <f>_xlfn.XLOOKUP(F468, 'Control Panel'!$B$20:$B$26,'Control Panel'!$C$20:$C$26,"0")</f>
        <v>0</v>
      </c>
      <c r="H468">
        <v>0</v>
      </c>
      <c r="I468">
        <f t="shared" si="7"/>
        <v>0.89249999999999996</v>
      </c>
      <c r="J468">
        <f>MAX(300,SUM('Control Panel'!$B$1*I468))</f>
        <v>300</v>
      </c>
    </row>
    <row r="469" spans="1:10" x14ac:dyDescent="0.25">
      <c r="A469" s="5">
        <v>46475</v>
      </c>
      <c r="B469" s="7" t="s">
        <v>11</v>
      </c>
      <c r="C469" s="9" t="s">
        <v>14</v>
      </c>
      <c r="D469">
        <f>_xlfn.XLOOKUP(C469, 'Control Panel'!$B$4:$B$8,'Control Panel'!$C$4:$C$8,"0")</f>
        <v>0.85</v>
      </c>
      <c r="E469">
        <f>_xlfn.XLOOKUP(B469, 'Control Panel'!$B$11:$B$17,'Control Panel'!$C$11:$C$17,"0")</f>
        <v>0.95</v>
      </c>
      <c r="G469" s="9" t="str">
        <f>_xlfn.XLOOKUP(F469, 'Control Panel'!$B$20:$B$26,'Control Panel'!$C$20:$C$26,"0")</f>
        <v>0</v>
      </c>
      <c r="H469">
        <v>0</v>
      </c>
      <c r="I469">
        <f t="shared" si="7"/>
        <v>0.8075</v>
      </c>
      <c r="J469">
        <f>MAX(300,SUM('Control Panel'!$B$1*I469))</f>
        <v>300</v>
      </c>
    </row>
    <row r="470" spans="1:10" x14ac:dyDescent="0.25">
      <c r="A470" s="5">
        <v>46476</v>
      </c>
      <c r="B470" s="7" t="s">
        <v>12</v>
      </c>
      <c r="C470" s="9" t="s">
        <v>14</v>
      </c>
      <c r="D470">
        <f>_xlfn.XLOOKUP(C470, 'Control Panel'!$B$4:$B$8,'Control Panel'!$C$4:$C$8,"0")</f>
        <v>0.85</v>
      </c>
      <c r="E470">
        <f>_xlfn.XLOOKUP(B470, 'Control Panel'!$B$11:$B$17,'Control Panel'!$C$11:$C$17,"0")</f>
        <v>0.95</v>
      </c>
      <c r="G470" s="9" t="str">
        <f>_xlfn.XLOOKUP(F470, 'Control Panel'!$B$20:$B$26,'Control Panel'!$C$20:$C$26,"0")</f>
        <v>0</v>
      </c>
      <c r="H470">
        <v>0</v>
      </c>
      <c r="I470">
        <f t="shared" si="7"/>
        <v>0.8075</v>
      </c>
      <c r="J470">
        <f>MAX(300,SUM('Control Panel'!$B$1*I470))</f>
        <v>300</v>
      </c>
    </row>
    <row r="471" spans="1:10" x14ac:dyDescent="0.25">
      <c r="A471" s="5">
        <v>46477</v>
      </c>
      <c r="B471" s="7" t="s">
        <v>13</v>
      </c>
      <c r="C471" s="9" t="s">
        <v>14</v>
      </c>
      <c r="D471">
        <f>_xlfn.XLOOKUP(C471, 'Control Panel'!$B$4:$B$8,'Control Panel'!$C$4:$C$8,"0")</f>
        <v>0.85</v>
      </c>
      <c r="E471">
        <f>_xlfn.XLOOKUP(B471, 'Control Panel'!$B$11:$B$17,'Control Panel'!$C$11:$C$17,"0")</f>
        <v>0.95</v>
      </c>
      <c r="G471" s="9" t="str">
        <f>_xlfn.XLOOKUP(F471, 'Control Panel'!$B$20:$B$26,'Control Panel'!$C$20:$C$26,"0")</f>
        <v>0</v>
      </c>
      <c r="H471">
        <v>0</v>
      </c>
      <c r="I471">
        <f t="shared" si="7"/>
        <v>0.8075</v>
      </c>
      <c r="J471">
        <f>MAX(300,SUM('Control Panel'!$B$1*I471))</f>
        <v>300</v>
      </c>
    </row>
    <row r="472" spans="1:10" x14ac:dyDescent="0.25">
      <c r="A472" s="10" t="s">
        <v>35</v>
      </c>
      <c r="B472" s="13"/>
      <c r="C472" s="14"/>
      <c r="G472" s="9" t="str">
        <f>_xlfn.XLOOKUP(F472, 'Control Panel'!$B$20:$B$26,'Control Panel'!$C$20:$C$26,"0")</f>
        <v>0</v>
      </c>
    </row>
    <row r="473" spans="1:10" x14ac:dyDescent="0.25">
      <c r="A473" s="5">
        <v>46478</v>
      </c>
      <c r="B473" s="7" t="s">
        <v>5</v>
      </c>
      <c r="C473" s="9" t="s">
        <v>15</v>
      </c>
      <c r="D473">
        <f>_xlfn.XLOOKUP(C473, 'Control Panel'!$B$4:$B$8,'Control Panel'!$C$4:$C$8,"0")</f>
        <v>0.9</v>
      </c>
      <c r="E473">
        <f>_xlfn.XLOOKUP(B473, 'Control Panel'!$B$11:$B$17,'Control Panel'!$C$11:$C$17,"0")</f>
        <v>0.95</v>
      </c>
      <c r="G473" s="9" t="str">
        <f>_xlfn.XLOOKUP(F473, 'Control Panel'!$B$20:$B$26,'Control Panel'!$C$20:$C$26,"0")</f>
        <v>0</v>
      </c>
      <c r="H473">
        <v>0</v>
      </c>
      <c r="I473">
        <f t="shared" si="7"/>
        <v>0.85499999999999998</v>
      </c>
      <c r="J473">
        <f>MAX(300,SUM('Control Panel'!$B$1*I473))</f>
        <v>300</v>
      </c>
    </row>
    <row r="474" spans="1:10" x14ac:dyDescent="0.25">
      <c r="A474" s="5">
        <v>46479</v>
      </c>
      <c r="B474" s="7" t="s">
        <v>8</v>
      </c>
      <c r="C474" s="9" t="s">
        <v>15</v>
      </c>
      <c r="D474">
        <f>_xlfn.XLOOKUP(C474, 'Control Panel'!$B$4:$B$8,'Control Panel'!$C$4:$C$8,"0")</f>
        <v>0.9</v>
      </c>
      <c r="E474">
        <f>_xlfn.XLOOKUP(B474, 'Control Panel'!$B$11:$B$17,'Control Panel'!$C$11:$C$17,"0")</f>
        <v>1.1000000000000001</v>
      </c>
      <c r="G474" s="9" t="str">
        <f>_xlfn.XLOOKUP(F474, 'Control Panel'!$B$20:$B$26,'Control Panel'!$C$20:$C$26,"0")</f>
        <v>0</v>
      </c>
      <c r="H474">
        <v>0</v>
      </c>
      <c r="I474">
        <f t="shared" si="7"/>
        <v>0.9900000000000001</v>
      </c>
      <c r="J474">
        <f>MAX(300,SUM('Control Panel'!$B$1*I474))</f>
        <v>300</v>
      </c>
    </row>
    <row r="475" spans="1:10" x14ac:dyDescent="0.25">
      <c r="A475" s="5">
        <v>46480</v>
      </c>
      <c r="B475" s="7" t="s">
        <v>9</v>
      </c>
      <c r="C475" s="9" t="s">
        <v>15</v>
      </c>
      <c r="D475">
        <f>_xlfn.XLOOKUP(C475, 'Control Panel'!$B$4:$B$8,'Control Panel'!$C$4:$C$8,"0")</f>
        <v>0.9</v>
      </c>
      <c r="E475">
        <f>_xlfn.XLOOKUP(B475, 'Control Panel'!$B$11:$B$17,'Control Panel'!$C$11:$C$17,"0")</f>
        <v>1.25</v>
      </c>
      <c r="G475" s="9" t="str">
        <f>_xlfn.XLOOKUP(F475, 'Control Panel'!$B$20:$B$26,'Control Panel'!$C$20:$C$26,"0")</f>
        <v>0</v>
      </c>
      <c r="H475">
        <v>0</v>
      </c>
      <c r="I475">
        <f t="shared" si="7"/>
        <v>1.125</v>
      </c>
      <c r="J475">
        <f>MAX(300,SUM('Control Panel'!$B$1*I475))</f>
        <v>337.5</v>
      </c>
    </row>
    <row r="476" spans="1:10" x14ac:dyDescent="0.25">
      <c r="A476" s="5">
        <v>46481</v>
      </c>
      <c r="B476" s="7" t="s">
        <v>10</v>
      </c>
      <c r="C476" s="9" t="s">
        <v>15</v>
      </c>
      <c r="D476">
        <f>_xlfn.XLOOKUP(C476, 'Control Panel'!$B$4:$B$8,'Control Panel'!$C$4:$C$8,"0")</f>
        <v>0.9</v>
      </c>
      <c r="E476">
        <f>_xlfn.XLOOKUP(B476, 'Control Panel'!$B$11:$B$17,'Control Panel'!$C$11:$C$17,"0")</f>
        <v>1.05</v>
      </c>
      <c r="G476" s="9" t="str">
        <f>_xlfn.XLOOKUP(F476, 'Control Panel'!$B$20:$B$26,'Control Panel'!$C$20:$C$26,"0")</f>
        <v>0</v>
      </c>
      <c r="H476">
        <v>0</v>
      </c>
      <c r="I476">
        <f t="shared" si="7"/>
        <v>0.94500000000000006</v>
      </c>
      <c r="J476">
        <f>MAX(300,SUM('Control Panel'!$B$1*I476))</f>
        <v>300</v>
      </c>
    </row>
    <row r="477" spans="1:10" x14ac:dyDescent="0.25">
      <c r="A477" s="5">
        <v>46482</v>
      </c>
      <c r="B477" s="7" t="s">
        <v>11</v>
      </c>
      <c r="C477" s="9" t="s">
        <v>15</v>
      </c>
      <c r="D477">
        <f>_xlfn.XLOOKUP(C477, 'Control Panel'!$B$4:$B$8,'Control Panel'!$C$4:$C$8,"0")</f>
        <v>0.9</v>
      </c>
      <c r="E477">
        <f>_xlfn.XLOOKUP(B477, 'Control Panel'!$B$11:$B$17,'Control Panel'!$C$11:$C$17,"0")</f>
        <v>0.95</v>
      </c>
      <c r="G477" s="9" t="str">
        <f>_xlfn.XLOOKUP(F477, 'Control Panel'!$B$20:$B$26,'Control Panel'!$C$20:$C$26,"0")</f>
        <v>0</v>
      </c>
      <c r="H477">
        <v>0</v>
      </c>
      <c r="I477">
        <f t="shared" si="7"/>
        <v>0.85499999999999998</v>
      </c>
      <c r="J477">
        <f>MAX(300,SUM('Control Panel'!$B$1*I477))</f>
        <v>300</v>
      </c>
    </row>
    <row r="478" spans="1:10" x14ac:dyDescent="0.25">
      <c r="A478" s="5">
        <v>46483</v>
      </c>
      <c r="B478" s="7" t="s">
        <v>12</v>
      </c>
      <c r="C478" s="9" t="s">
        <v>15</v>
      </c>
      <c r="D478">
        <f>_xlfn.XLOOKUP(C478, 'Control Panel'!$B$4:$B$8,'Control Panel'!$C$4:$C$8,"0")</f>
        <v>0.9</v>
      </c>
      <c r="E478">
        <f>_xlfn.XLOOKUP(B478, 'Control Panel'!$B$11:$B$17,'Control Panel'!$C$11:$C$17,"0")</f>
        <v>0.95</v>
      </c>
      <c r="G478" s="9" t="str">
        <f>_xlfn.XLOOKUP(F478, 'Control Panel'!$B$20:$B$26,'Control Panel'!$C$20:$C$26,"0")</f>
        <v>0</v>
      </c>
      <c r="H478">
        <v>0</v>
      </c>
      <c r="I478">
        <f t="shared" si="7"/>
        <v>0.85499999999999998</v>
      </c>
      <c r="J478">
        <f>MAX(300,SUM('Control Panel'!$B$1*I478))</f>
        <v>300</v>
      </c>
    </row>
    <row r="479" spans="1:10" x14ac:dyDescent="0.25">
      <c r="A479" s="5">
        <v>46484</v>
      </c>
      <c r="B479" s="7" t="s">
        <v>13</v>
      </c>
      <c r="C479" s="9" t="s">
        <v>15</v>
      </c>
      <c r="D479">
        <f>_xlfn.XLOOKUP(C479, 'Control Panel'!$B$4:$B$8,'Control Panel'!$C$4:$C$8,"0")</f>
        <v>0.9</v>
      </c>
      <c r="E479">
        <f>_xlfn.XLOOKUP(B479, 'Control Panel'!$B$11:$B$17,'Control Panel'!$C$11:$C$17,"0")</f>
        <v>0.95</v>
      </c>
      <c r="G479" s="9" t="str">
        <f>_xlfn.XLOOKUP(F479, 'Control Panel'!$B$20:$B$26,'Control Panel'!$C$20:$C$26,"0")</f>
        <v>0</v>
      </c>
      <c r="H479">
        <v>0</v>
      </c>
      <c r="I479">
        <f t="shared" si="7"/>
        <v>0.85499999999999998</v>
      </c>
      <c r="J479">
        <f>MAX(300,SUM('Control Panel'!$B$1*I479))</f>
        <v>300</v>
      </c>
    </row>
    <row r="480" spans="1:10" x14ac:dyDescent="0.25">
      <c r="A480" s="5">
        <v>46485</v>
      </c>
      <c r="B480" s="7" t="s">
        <v>5</v>
      </c>
      <c r="C480" s="9" t="s">
        <v>15</v>
      </c>
      <c r="D480">
        <f>_xlfn.XLOOKUP(C480, 'Control Panel'!$B$4:$B$8,'Control Panel'!$C$4:$C$8,"0")</f>
        <v>0.9</v>
      </c>
      <c r="E480">
        <f>_xlfn.XLOOKUP(B480, 'Control Panel'!$B$11:$B$17,'Control Panel'!$C$11:$C$17,"0")</f>
        <v>0.95</v>
      </c>
      <c r="G480" s="9" t="str">
        <f>_xlfn.XLOOKUP(F480, 'Control Panel'!$B$20:$B$26,'Control Panel'!$C$20:$C$26,"0")</f>
        <v>0</v>
      </c>
      <c r="H480">
        <v>0</v>
      </c>
      <c r="I480">
        <f t="shared" si="7"/>
        <v>0.85499999999999998</v>
      </c>
      <c r="J480">
        <f>MAX(300,SUM('Control Panel'!$B$1*I480))</f>
        <v>300</v>
      </c>
    </row>
    <row r="481" spans="1:10" x14ac:dyDescent="0.25">
      <c r="A481" s="5">
        <v>46486</v>
      </c>
      <c r="B481" s="7" t="s">
        <v>8</v>
      </c>
      <c r="C481" s="9" t="s">
        <v>15</v>
      </c>
      <c r="D481">
        <f>_xlfn.XLOOKUP(C481, 'Control Panel'!$B$4:$B$8,'Control Panel'!$C$4:$C$8,"0")</f>
        <v>0.9</v>
      </c>
      <c r="E481">
        <f>_xlfn.XLOOKUP(B481, 'Control Panel'!$B$11:$B$17,'Control Panel'!$C$11:$C$17,"0")</f>
        <v>1.1000000000000001</v>
      </c>
      <c r="G481" s="9" t="str">
        <f>_xlfn.XLOOKUP(F481, 'Control Panel'!$B$20:$B$26,'Control Panel'!$C$20:$C$26,"0")</f>
        <v>0</v>
      </c>
      <c r="H481">
        <v>0</v>
      </c>
      <c r="I481">
        <f t="shared" si="7"/>
        <v>0.9900000000000001</v>
      </c>
      <c r="J481">
        <f>MAX(300,SUM('Control Panel'!$B$1*I481))</f>
        <v>300</v>
      </c>
    </row>
    <row r="482" spans="1:10" x14ac:dyDescent="0.25">
      <c r="A482" s="5">
        <v>46487</v>
      </c>
      <c r="B482" s="7" t="s">
        <v>9</v>
      </c>
      <c r="C482" s="9" t="s">
        <v>15</v>
      </c>
      <c r="D482">
        <f>_xlfn.XLOOKUP(C482, 'Control Panel'!$B$4:$B$8,'Control Panel'!$C$4:$C$8,"0")</f>
        <v>0.9</v>
      </c>
      <c r="E482">
        <f>_xlfn.XLOOKUP(B482, 'Control Panel'!$B$11:$B$17,'Control Panel'!$C$11:$C$17,"0")</f>
        <v>1.25</v>
      </c>
      <c r="G482" s="9" t="str">
        <f>_xlfn.XLOOKUP(F482, 'Control Panel'!$B$20:$B$26,'Control Panel'!$C$20:$C$26,"0")</f>
        <v>0</v>
      </c>
      <c r="H482">
        <v>0</v>
      </c>
      <c r="I482">
        <f t="shared" si="7"/>
        <v>1.125</v>
      </c>
      <c r="J482">
        <f>MAX(300,SUM('Control Panel'!$B$1*I482))</f>
        <v>337.5</v>
      </c>
    </row>
    <row r="483" spans="1:10" x14ac:dyDescent="0.25">
      <c r="A483" s="5">
        <v>46488</v>
      </c>
      <c r="B483" s="7" t="s">
        <v>10</v>
      </c>
      <c r="C483" s="9" t="s">
        <v>15</v>
      </c>
      <c r="D483">
        <f>_xlfn.XLOOKUP(C483, 'Control Panel'!$B$4:$B$8,'Control Panel'!$C$4:$C$8,"0")</f>
        <v>0.9</v>
      </c>
      <c r="E483">
        <f>_xlfn.XLOOKUP(B483, 'Control Panel'!$B$11:$B$17,'Control Panel'!$C$11:$C$17,"0")</f>
        <v>1.05</v>
      </c>
      <c r="G483" s="9" t="str">
        <f>_xlfn.XLOOKUP(F483, 'Control Panel'!$B$20:$B$26,'Control Panel'!$C$20:$C$26,"0")</f>
        <v>0</v>
      </c>
      <c r="H483">
        <v>0</v>
      </c>
      <c r="I483">
        <f t="shared" si="7"/>
        <v>0.94500000000000006</v>
      </c>
      <c r="J483">
        <f>MAX(300,SUM('Control Panel'!$B$1*I483))</f>
        <v>300</v>
      </c>
    </row>
    <row r="484" spans="1:10" x14ac:dyDescent="0.25">
      <c r="A484" s="5">
        <v>46489</v>
      </c>
      <c r="B484" s="7" t="s">
        <v>11</v>
      </c>
      <c r="C484" s="9" t="s">
        <v>15</v>
      </c>
      <c r="D484">
        <f>_xlfn.XLOOKUP(C484, 'Control Panel'!$B$4:$B$8,'Control Panel'!$C$4:$C$8,"0")</f>
        <v>0.9</v>
      </c>
      <c r="E484">
        <f>_xlfn.XLOOKUP(B484, 'Control Panel'!$B$11:$B$17,'Control Panel'!$C$11:$C$17,"0")</f>
        <v>0.95</v>
      </c>
      <c r="G484" s="9" t="str">
        <f>_xlfn.XLOOKUP(F484, 'Control Panel'!$B$20:$B$26,'Control Panel'!$C$20:$C$26,"0")</f>
        <v>0</v>
      </c>
      <c r="H484">
        <v>0</v>
      </c>
      <c r="I484">
        <f t="shared" si="7"/>
        <v>0.85499999999999998</v>
      </c>
      <c r="J484">
        <f>MAX(300,SUM('Control Panel'!$B$1*I484))</f>
        <v>300</v>
      </c>
    </row>
    <row r="485" spans="1:10" x14ac:dyDescent="0.25">
      <c r="A485" s="5">
        <v>46490</v>
      </c>
      <c r="B485" s="7" t="s">
        <v>12</v>
      </c>
      <c r="C485" s="9" t="s">
        <v>15</v>
      </c>
      <c r="D485">
        <f>_xlfn.XLOOKUP(C485, 'Control Panel'!$B$4:$B$8,'Control Panel'!$C$4:$C$8,"0")</f>
        <v>0.9</v>
      </c>
      <c r="E485">
        <f>_xlfn.XLOOKUP(B485, 'Control Panel'!$B$11:$B$17,'Control Panel'!$C$11:$C$17,"0")</f>
        <v>0.95</v>
      </c>
      <c r="G485" s="9" t="str">
        <f>_xlfn.XLOOKUP(F485, 'Control Panel'!$B$20:$B$26,'Control Panel'!$C$20:$C$26,"0")</f>
        <v>0</v>
      </c>
      <c r="H485">
        <v>0</v>
      </c>
      <c r="I485">
        <f t="shared" si="7"/>
        <v>0.85499999999999998</v>
      </c>
      <c r="J485">
        <f>MAX(300,SUM('Control Panel'!$B$1*I485))</f>
        <v>300</v>
      </c>
    </row>
    <row r="486" spans="1:10" x14ac:dyDescent="0.25">
      <c r="A486" s="5">
        <v>46491</v>
      </c>
      <c r="B486" s="7" t="s">
        <v>13</v>
      </c>
      <c r="C486" s="9" t="s">
        <v>15</v>
      </c>
      <c r="D486">
        <f>_xlfn.XLOOKUP(C486, 'Control Panel'!$B$4:$B$8,'Control Panel'!$C$4:$C$8,"0")</f>
        <v>0.9</v>
      </c>
      <c r="E486">
        <f>_xlfn.XLOOKUP(B486, 'Control Panel'!$B$11:$B$17,'Control Panel'!$C$11:$C$17,"0")</f>
        <v>0.95</v>
      </c>
      <c r="G486" s="9" t="str">
        <f>_xlfn.XLOOKUP(F486, 'Control Panel'!$B$20:$B$26,'Control Panel'!$C$20:$C$26,"0")</f>
        <v>0</v>
      </c>
      <c r="H486">
        <v>0</v>
      </c>
      <c r="I486">
        <f t="shared" si="7"/>
        <v>0.85499999999999998</v>
      </c>
      <c r="J486">
        <f>MAX(300,SUM('Control Panel'!$B$1*I486))</f>
        <v>300</v>
      </c>
    </row>
    <row r="487" spans="1:10" x14ac:dyDescent="0.25">
      <c r="A487" s="5">
        <v>46492</v>
      </c>
      <c r="B487" s="7" t="s">
        <v>5</v>
      </c>
      <c r="C487" s="9" t="s">
        <v>15</v>
      </c>
      <c r="D487">
        <f>_xlfn.XLOOKUP(C487, 'Control Panel'!$B$4:$B$8,'Control Panel'!$C$4:$C$8,"0")</f>
        <v>0.9</v>
      </c>
      <c r="E487">
        <f>_xlfn.XLOOKUP(B487, 'Control Panel'!$B$11:$B$17,'Control Panel'!$C$11:$C$17,"0")</f>
        <v>0.95</v>
      </c>
      <c r="G487" s="9" t="str">
        <f>_xlfn.XLOOKUP(F487, 'Control Panel'!$B$20:$B$26,'Control Panel'!$C$20:$C$26,"0")</f>
        <v>0</v>
      </c>
      <c r="H487">
        <v>0</v>
      </c>
      <c r="I487">
        <f t="shared" si="7"/>
        <v>0.85499999999999998</v>
      </c>
      <c r="J487">
        <f>MAX(300,SUM('Control Panel'!$B$1*I487))</f>
        <v>300</v>
      </c>
    </row>
    <row r="488" spans="1:10" x14ac:dyDescent="0.25">
      <c r="A488" s="5">
        <v>46493</v>
      </c>
      <c r="B488" s="7" t="s">
        <v>8</v>
      </c>
      <c r="C488" s="9" t="s">
        <v>15</v>
      </c>
      <c r="D488">
        <f>_xlfn.XLOOKUP(C488, 'Control Panel'!$B$4:$B$8,'Control Panel'!$C$4:$C$8,"0")</f>
        <v>0.9</v>
      </c>
      <c r="E488">
        <f>_xlfn.XLOOKUP(B488, 'Control Panel'!$B$11:$B$17,'Control Panel'!$C$11:$C$17,"0")</f>
        <v>1.1000000000000001</v>
      </c>
      <c r="G488" s="9" t="str">
        <f>_xlfn.XLOOKUP(F488, 'Control Panel'!$B$20:$B$26,'Control Panel'!$C$20:$C$26,"0")</f>
        <v>0</v>
      </c>
      <c r="H488">
        <v>0</v>
      </c>
      <c r="I488">
        <f t="shared" si="7"/>
        <v>0.9900000000000001</v>
      </c>
      <c r="J488">
        <f>MAX(300,SUM('Control Panel'!$B$1*I488))</f>
        <v>300</v>
      </c>
    </row>
    <row r="489" spans="1:10" x14ac:dyDescent="0.25">
      <c r="A489" s="5">
        <v>46494</v>
      </c>
      <c r="B489" s="7" t="s">
        <v>9</v>
      </c>
      <c r="C489" s="9" t="s">
        <v>15</v>
      </c>
      <c r="D489">
        <f>_xlfn.XLOOKUP(C489, 'Control Panel'!$B$4:$B$8,'Control Panel'!$C$4:$C$8,"0")</f>
        <v>0.9</v>
      </c>
      <c r="E489">
        <f>_xlfn.XLOOKUP(B489, 'Control Panel'!$B$11:$B$17,'Control Panel'!$C$11:$C$17,"0")</f>
        <v>1.25</v>
      </c>
      <c r="G489" s="9" t="str">
        <f>_xlfn.XLOOKUP(F489, 'Control Panel'!$B$20:$B$26,'Control Panel'!$C$20:$C$26,"0")</f>
        <v>0</v>
      </c>
      <c r="H489">
        <v>0</v>
      </c>
      <c r="I489">
        <f t="shared" si="7"/>
        <v>1.125</v>
      </c>
      <c r="J489">
        <f>MAX(300,SUM('Control Panel'!$B$1*I489))</f>
        <v>337.5</v>
      </c>
    </row>
    <row r="490" spans="1:10" x14ac:dyDescent="0.25">
      <c r="A490" s="5">
        <v>46495</v>
      </c>
      <c r="B490" s="7" t="s">
        <v>10</v>
      </c>
      <c r="C490" s="9" t="s">
        <v>15</v>
      </c>
      <c r="D490">
        <f>_xlfn.XLOOKUP(C490, 'Control Panel'!$B$4:$B$8,'Control Panel'!$C$4:$C$8,"0")</f>
        <v>0.9</v>
      </c>
      <c r="E490">
        <f>_xlfn.XLOOKUP(B490, 'Control Panel'!$B$11:$B$17,'Control Panel'!$C$11:$C$17,"0")</f>
        <v>1.05</v>
      </c>
      <c r="G490" s="9" t="str">
        <f>_xlfn.XLOOKUP(F490, 'Control Panel'!$B$20:$B$26,'Control Panel'!$C$20:$C$26,"0")</f>
        <v>0</v>
      </c>
      <c r="H490">
        <v>0</v>
      </c>
      <c r="I490">
        <f t="shared" si="7"/>
        <v>0.94500000000000006</v>
      </c>
      <c r="J490">
        <f>MAX(300,SUM('Control Panel'!$B$1*I490))</f>
        <v>300</v>
      </c>
    </row>
    <row r="491" spans="1:10" x14ac:dyDescent="0.25">
      <c r="A491" s="5">
        <v>46496</v>
      </c>
      <c r="B491" s="7" t="s">
        <v>11</v>
      </c>
      <c r="C491" s="9" t="s">
        <v>15</v>
      </c>
      <c r="D491">
        <f>_xlfn.XLOOKUP(C491, 'Control Panel'!$B$4:$B$8,'Control Panel'!$C$4:$C$8,"0")</f>
        <v>0.9</v>
      </c>
      <c r="E491">
        <f>_xlfn.XLOOKUP(B491, 'Control Panel'!$B$11:$B$17,'Control Panel'!$C$11:$C$17,"0")</f>
        <v>0.95</v>
      </c>
      <c r="G491" s="9" t="str">
        <f>_xlfn.XLOOKUP(F491, 'Control Panel'!$B$20:$B$26,'Control Panel'!$C$20:$C$26,"0")</f>
        <v>0</v>
      </c>
      <c r="H491">
        <v>0</v>
      </c>
      <c r="I491">
        <f t="shared" si="7"/>
        <v>0.85499999999999998</v>
      </c>
      <c r="J491">
        <f>MAX(300,SUM('Control Panel'!$B$1*I491))</f>
        <v>300</v>
      </c>
    </row>
    <row r="492" spans="1:10" x14ac:dyDescent="0.25">
      <c r="A492" s="5">
        <v>46497</v>
      </c>
      <c r="B492" s="7" t="s">
        <v>12</v>
      </c>
      <c r="C492" s="9" t="s">
        <v>15</v>
      </c>
      <c r="D492">
        <f>_xlfn.XLOOKUP(C492, 'Control Panel'!$B$4:$B$8,'Control Panel'!$C$4:$C$8,"0")</f>
        <v>0.9</v>
      </c>
      <c r="E492">
        <f>_xlfn.XLOOKUP(B492, 'Control Panel'!$B$11:$B$17,'Control Panel'!$C$11:$C$17,"0")</f>
        <v>0.95</v>
      </c>
      <c r="G492" s="9" t="str">
        <f>_xlfn.XLOOKUP(F492, 'Control Panel'!$B$20:$B$26,'Control Panel'!$C$20:$C$26,"0")</f>
        <v>0</v>
      </c>
      <c r="H492">
        <v>0</v>
      </c>
      <c r="I492">
        <f t="shared" si="7"/>
        <v>0.85499999999999998</v>
      </c>
      <c r="J492">
        <f>MAX(300,SUM('Control Panel'!$B$1*I492))</f>
        <v>300</v>
      </c>
    </row>
    <row r="493" spans="1:10" x14ac:dyDescent="0.25">
      <c r="A493" s="5">
        <v>46498</v>
      </c>
      <c r="B493" s="7" t="s">
        <v>13</v>
      </c>
      <c r="C493" s="9" t="s">
        <v>15</v>
      </c>
      <c r="D493">
        <f>_xlfn.XLOOKUP(C493, 'Control Panel'!$B$4:$B$8,'Control Panel'!$C$4:$C$8,"0")</f>
        <v>0.9</v>
      </c>
      <c r="E493">
        <f>_xlfn.XLOOKUP(B493, 'Control Panel'!$B$11:$B$17,'Control Panel'!$C$11:$C$17,"0")</f>
        <v>0.95</v>
      </c>
      <c r="G493" s="9" t="str">
        <f>_xlfn.XLOOKUP(F493, 'Control Panel'!$B$20:$B$26,'Control Panel'!$C$20:$C$26,"0")</f>
        <v>0</v>
      </c>
      <c r="H493">
        <v>0</v>
      </c>
      <c r="I493">
        <f t="shared" si="7"/>
        <v>0.85499999999999998</v>
      </c>
      <c r="J493">
        <f>MAX(300,SUM('Control Panel'!$B$1*I493))</f>
        <v>300</v>
      </c>
    </row>
    <row r="494" spans="1:10" x14ac:dyDescent="0.25">
      <c r="A494" s="5">
        <v>46499</v>
      </c>
      <c r="B494" s="7" t="s">
        <v>5</v>
      </c>
      <c r="C494" s="9" t="s">
        <v>15</v>
      </c>
      <c r="D494">
        <f>_xlfn.XLOOKUP(C494, 'Control Panel'!$B$4:$B$8,'Control Panel'!$C$4:$C$8,"0")</f>
        <v>0.9</v>
      </c>
      <c r="E494">
        <f>_xlfn.XLOOKUP(B494, 'Control Panel'!$B$11:$B$17,'Control Panel'!$C$11:$C$17,"0")</f>
        <v>0.95</v>
      </c>
      <c r="G494" s="9" t="str">
        <f>_xlfn.XLOOKUP(F494, 'Control Panel'!$B$20:$B$26,'Control Panel'!$C$20:$C$26,"0")</f>
        <v>0</v>
      </c>
      <c r="H494">
        <v>0</v>
      </c>
      <c r="I494">
        <f t="shared" si="7"/>
        <v>0.85499999999999998</v>
      </c>
      <c r="J494">
        <f>MAX(300,SUM('Control Panel'!$B$1*I494))</f>
        <v>300</v>
      </c>
    </row>
    <row r="495" spans="1:10" x14ac:dyDescent="0.25">
      <c r="A495" s="5">
        <v>46500</v>
      </c>
      <c r="B495" s="7" t="s">
        <v>8</v>
      </c>
      <c r="C495" s="9" t="s">
        <v>15</v>
      </c>
      <c r="D495">
        <f>_xlfn.XLOOKUP(C495, 'Control Panel'!$B$4:$B$8,'Control Panel'!$C$4:$C$8,"0")</f>
        <v>0.9</v>
      </c>
      <c r="E495">
        <f>_xlfn.XLOOKUP(B495, 'Control Panel'!$B$11:$B$17,'Control Panel'!$C$11:$C$17,"0")</f>
        <v>1.1000000000000001</v>
      </c>
      <c r="G495" s="9" t="str">
        <f>_xlfn.XLOOKUP(F495, 'Control Panel'!$B$20:$B$26,'Control Panel'!$C$20:$C$26,"0")</f>
        <v>0</v>
      </c>
      <c r="H495">
        <v>0</v>
      </c>
      <c r="I495">
        <f t="shared" si="7"/>
        <v>0.9900000000000001</v>
      </c>
      <c r="J495">
        <f>MAX(300,SUM('Control Panel'!$B$1*I495))</f>
        <v>300</v>
      </c>
    </row>
    <row r="496" spans="1:10" x14ac:dyDescent="0.25">
      <c r="A496" s="5">
        <v>46501</v>
      </c>
      <c r="B496" s="7" t="s">
        <v>9</v>
      </c>
      <c r="C496" s="9" t="s">
        <v>15</v>
      </c>
      <c r="D496">
        <f>_xlfn.XLOOKUP(C496, 'Control Panel'!$B$4:$B$8,'Control Panel'!$C$4:$C$8,"0")</f>
        <v>0.9</v>
      </c>
      <c r="E496">
        <f>_xlfn.XLOOKUP(B496, 'Control Panel'!$B$11:$B$17,'Control Panel'!$C$11:$C$17,"0")</f>
        <v>1.25</v>
      </c>
      <c r="G496" s="9" t="str">
        <f>_xlfn.XLOOKUP(F496, 'Control Panel'!$B$20:$B$26,'Control Panel'!$C$20:$C$26,"0")</f>
        <v>0</v>
      </c>
      <c r="H496">
        <v>0</v>
      </c>
      <c r="I496">
        <f t="shared" si="7"/>
        <v>1.125</v>
      </c>
      <c r="J496">
        <f>MAX(300,SUM('Control Panel'!$B$1*I496))</f>
        <v>337.5</v>
      </c>
    </row>
    <row r="497" spans="1:10" x14ac:dyDescent="0.25">
      <c r="A497" s="5">
        <v>46502</v>
      </c>
      <c r="B497" s="7" t="s">
        <v>10</v>
      </c>
      <c r="C497" s="9" t="s">
        <v>15</v>
      </c>
      <c r="D497">
        <f>_xlfn.XLOOKUP(C497, 'Control Panel'!$B$4:$B$8,'Control Panel'!$C$4:$C$8,"0")</f>
        <v>0.9</v>
      </c>
      <c r="E497">
        <f>_xlfn.XLOOKUP(B497, 'Control Panel'!$B$11:$B$17,'Control Panel'!$C$11:$C$17,"0")</f>
        <v>1.05</v>
      </c>
      <c r="G497" s="9" t="str">
        <f>_xlfn.XLOOKUP(F497, 'Control Panel'!$B$20:$B$26,'Control Panel'!$C$20:$C$26,"0")</f>
        <v>0</v>
      </c>
      <c r="H497">
        <v>0</v>
      </c>
      <c r="I497">
        <f t="shared" si="7"/>
        <v>0.94500000000000006</v>
      </c>
      <c r="J497">
        <f>MAX(300,SUM('Control Panel'!$B$1*I497))</f>
        <v>300</v>
      </c>
    </row>
    <row r="498" spans="1:10" x14ac:dyDescent="0.25">
      <c r="A498" s="5">
        <v>46503</v>
      </c>
      <c r="B498" s="7" t="s">
        <v>11</v>
      </c>
      <c r="C498" s="9" t="s">
        <v>15</v>
      </c>
      <c r="D498">
        <f>_xlfn.XLOOKUP(C498, 'Control Panel'!$B$4:$B$8,'Control Panel'!$C$4:$C$8,"0")</f>
        <v>0.9</v>
      </c>
      <c r="E498">
        <f>_xlfn.XLOOKUP(B498, 'Control Panel'!$B$11:$B$17,'Control Panel'!$C$11:$C$17,"0")</f>
        <v>0.95</v>
      </c>
      <c r="G498" s="9" t="str">
        <f>_xlfn.XLOOKUP(F498, 'Control Panel'!$B$20:$B$26,'Control Panel'!$C$20:$C$26,"0")</f>
        <v>0</v>
      </c>
      <c r="H498">
        <v>0</v>
      </c>
      <c r="I498">
        <f t="shared" si="7"/>
        <v>0.85499999999999998</v>
      </c>
      <c r="J498">
        <f>MAX(300,SUM('Control Panel'!$B$1*I498))</f>
        <v>300</v>
      </c>
    </row>
    <row r="499" spans="1:10" x14ac:dyDescent="0.25">
      <c r="A499" s="5">
        <v>46504</v>
      </c>
      <c r="B499" s="7" t="s">
        <v>12</v>
      </c>
      <c r="C499" s="9" t="s">
        <v>15</v>
      </c>
      <c r="D499">
        <f>_xlfn.XLOOKUP(C499, 'Control Panel'!$B$4:$B$8,'Control Panel'!$C$4:$C$8,"0")</f>
        <v>0.9</v>
      </c>
      <c r="E499">
        <f>_xlfn.XLOOKUP(B499, 'Control Panel'!$B$11:$B$17,'Control Panel'!$C$11:$C$17,"0")</f>
        <v>0.95</v>
      </c>
      <c r="G499" s="9" t="str">
        <f>_xlfn.XLOOKUP(F499, 'Control Panel'!$B$20:$B$26,'Control Panel'!$C$20:$C$26,"0")</f>
        <v>0</v>
      </c>
      <c r="H499">
        <v>0</v>
      </c>
      <c r="I499">
        <f t="shared" si="7"/>
        <v>0.85499999999999998</v>
      </c>
      <c r="J499">
        <f>MAX(300,SUM('Control Panel'!$B$1*I499))</f>
        <v>300</v>
      </c>
    </row>
    <row r="500" spans="1:10" x14ac:dyDescent="0.25">
      <c r="A500" s="5">
        <v>46505</v>
      </c>
      <c r="B500" s="7" t="s">
        <v>13</v>
      </c>
      <c r="C500" s="9" t="s">
        <v>15</v>
      </c>
      <c r="D500">
        <f>_xlfn.XLOOKUP(C500, 'Control Panel'!$B$4:$B$8,'Control Panel'!$C$4:$C$8,"0")</f>
        <v>0.9</v>
      </c>
      <c r="E500">
        <f>_xlfn.XLOOKUP(B500, 'Control Panel'!$B$11:$B$17,'Control Panel'!$C$11:$C$17,"0")</f>
        <v>0.95</v>
      </c>
      <c r="G500" s="9" t="str">
        <f>_xlfn.XLOOKUP(F500, 'Control Panel'!$B$20:$B$26,'Control Panel'!$C$20:$C$26,"0")</f>
        <v>0</v>
      </c>
      <c r="H500">
        <v>0</v>
      </c>
      <c r="I500">
        <f t="shared" si="7"/>
        <v>0.85499999999999998</v>
      </c>
      <c r="J500">
        <f>MAX(300,SUM('Control Panel'!$B$1*I500))</f>
        <v>300</v>
      </c>
    </row>
    <row r="501" spans="1:10" x14ac:dyDescent="0.25">
      <c r="A501" s="5">
        <v>46506</v>
      </c>
      <c r="B501" s="7" t="s">
        <v>5</v>
      </c>
      <c r="C501" s="9" t="s">
        <v>15</v>
      </c>
      <c r="D501">
        <f>_xlfn.XLOOKUP(C501, 'Control Panel'!$B$4:$B$8,'Control Panel'!$C$4:$C$8,"0")</f>
        <v>0.9</v>
      </c>
      <c r="E501">
        <f>_xlfn.XLOOKUP(B501, 'Control Panel'!$B$11:$B$17,'Control Panel'!$C$11:$C$17,"0")</f>
        <v>0.95</v>
      </c>
      <c r="G501" s="9" t="str">
        <f>_xlfn.XLOOKUP(F501, 'Control Panel'!$B$20:$B$26,'Control Panel'!$C$20:$C$26,"0")</f>
        <v>0</v>
      </c>
      <c r="H501">
        <v>0</v>
      </c>
      <c r="I501">
        <f t="shared" si="7"/>
        <v>0.85499999999999998</v>
      </c>
      <c r="J501">
        <f>MAX(300,SUM('Control Panel'!$B$1*I501))</f>
        <v>300</v>
      </c>
    </row>
    <row r="502" spans="1:10" x14ac:dyDescent="0.25">
      <c r="A502" s="5">
        <v>46507</v>
      </c>
      <c r="B502" s="7" t="s">
        <v>8</v>
      </c>
      <c r="C502" s="9" t="s">
        <v>15</v>
      </c>
      <c r="D502">
        <f>_xlfn.XLOOKUP(C502, 'Control Panel'!$B$4:$B$8,'Control Panel'!$C$4:$C$8,"0")</f>
        <v>0.9</v>
      </c>
      <c r="E502">
        <f>_xlfn.XLOOKUP(B502, 'Control Panel'!$B$11:$B$17,'Control Panel'!$C$11:$C$17,"0")</f>
        <v>1.1000000000000001</v>
      </c>
      <c r="G502" s="9" t="str">
        <f>_xlfn.XLOOKUP(F502, 'Control Panel'!$B$20:$B$26,'Control Panel'!$C$20:$C$26,"0")</f>
        <v>0</v>
      </c>
      <c r="H502">
        <v>0</v>
      </c>
      <c r="I502">
        <f t="shared" si="7"/>
        <v>0.9900000000000001</v>
      </c>
      <c r="J502">
        <f>MAX(300,SUM('Control Panel'!$B$1*I502))</f>
        <v>300</v>
      </c>
    </row>
    <row r="503" spans="1:10" x14ac:dyDescent="0.25">
      <c r="A503" s="10" t="s">
        <v>36</v>
      </c>
      <c r="B503" s="13"/>
      <c r="C503" s="14"/>
      <c r="G503" s="9" t="str">
        <f>_xlfn.XLOOKUP(F503, 'Control Panel'!$B$20:$B$26,'Control Panel'!$C$20:$C$26,"0")</f>
        <v>0</v>
      </c>
    </row>
    <row r="504" spans="1:10" x14ac:dyDescent="0.25">
      <c r="A504" s="5">
        <v>46508</v>
      </c>
      <c r="B504" s="7" t="s">
        <v>9</v>
      </c>
      <c r="C504" s="9" t="s">
        <v>15</v>
      </c>
      <c r="D504">
        <f>_xlfn.XLOOKUP(C504, 'Control Panel'!$B$4:$B$8,'Control Panel'!$C$4:$C$8,"0")</f>
        <v>0.9</v>
      </c>
      <c r="E504">
        <f>_xlfn.XLOOKUP(B504, 'Control Panel'!$B$11:$B$17,'Control Panel'!$C$11:$C$17,"0")</f>
        <v>1.25</v>
      </c>
      <c r="G504" s="9" t="str">
        <f>_xlfn.XLOOKUP(F504, 'Control Panel'!$B$20:$B$26,'Control Panel'!$C$20:$C$26,"0")</f>
        <v>0</v>
      </c>
      <c r="H504">
        <v>0</v>
      </c>
      <c r="I504">
        <f t="shared" si="7"/>
        <v>1.125</v>
      </c>
      <c r="J504">
        <f>MAX(300,SUM('Control Panel'!$B$1*I504))</f>
        <v>337.5</v>
      </c>
    </row>
    <row r="505" spans="1:10" x14ac:dyDescent="0.25">
      <c r="A505" s="5">
        <v>46509</v>
      </c>
      <c r="B505" s="7" t="s">
        <v>10</v>
      </c>
      <c r="C505" s="9" t="s">
        <v>15</v>
      </c>
      <c r="D505">
        <f>_xlfn.XLOOKUP(C505, 'Control Panel'!$B$4:$B$8,'Control Panel'!$C$4:$C$8,"0")</f>
        <v>0.9</v>
      </c>
      <c r="E505">
        <f>_xlfn.XLOOKUP(B505, 'Control Panel'!$B$11:$B$17,'Control Panel'!$C$11:$C$17,"0")</f>
        <v>1.05</v>
      </c>
      <c r="G505" s="9" t="str">
        <f>_xlfn.XLOOKUP(F505, 'Control Panel'!$B$20:$B$26,'Control Panel'!$C$20:$C$26,"0")</f>
        <v>0</v>
      </c>
      <c r="H505">
        <v>0</v>
      </c>
      <c r="I505">
        <f t="shared" si="7"/>
        <v>0.94500000000000006</v>
      </c>
      <c r="J505">
        <f>MAX(300,SUM('Control Panel'!$B$1*I505))</f>
        <v>300</v>
      </c>
    </row>
    <row r="506" spans="1:10" x14ac:dyDescent="0.25">
      <c r="A506" s="5">
        <v>46510</v>
      </c>
      <c r="B506" s="7" t="s">
        <v>11</v>
      </c>
      <c r="C506" s="9" t="s">
        <v>15</v>
      </c>
      <c r="D506">
        <f>_xlfn.XLOOKUP(C506, 'Control Panel'!$B$4:$B$8,'Control Panel'!$C$4:$C$8,"0")</f>
        <v>0.9</v>
      </c>
      <c r="E506">
        <f>_xlfn.XLOOKUP(B506, 'Control Panel'!$B$11:$B$17,'Control Panel'!$C$11:$C$17,"0")</f>
        <v>0.95</v>
      </c>
      <c r="G506" s="9" t="str">
        <f>_xlfn.XLOOKUP(F506, 'Control Panel'!$B$20:$B$26,'Control Panel'!$C$20:$C$26,"0")</f>
        <v>0</v>
      </c>
      <c r="H506">
        <v>0</v>
      </c>
      <c r="I506">
        <f t="shared" si="7"/>
        <v>0.85499999999999998</v>
      </c>
      <c r="J506">
        <f>MAX(300,SUM('Control Panel'!$B$1*I506))</f>
        <v>300</v>
      </c>
    </row>
    <row r="507" spans="1:10" x14ac:dyDescent="0.25">
      <c r="A507" s="5">
        <v>46511</v>
      </c>
      <c r="B507" s="7" t="s">
        <v>12</v>
      </c>
      <c r="C507" s="9" t="s">
        <v>15</v>
      </c>
      <c r="D507">
        <f>_xlfn.XLOOKUP(C507, 'Control Panel'!$B$4:$B$8,'Control Panel'!$C$4:$C$8,"0")</f>
        <v>0.9</v>
      </c>
      <c r="E507">
        <f>_xlfn.XLOOKUP(B507, 'Control Panel'!$B$11:$B$17,'Control Panel'!$C$11:$C$17,"0")</f>
        <v>0.95</v>
      </c>
      <c r="G507" s="9" t="str">
        <f>_xlfn.XLOOKUP(F507, 'Control Panel'!$B$20:$B$26,'Control Panel'!$C$20:$C$26,"0")</f>
        <v>0</v>
      </c>
      <c r="H507">
        <v>0</v>
      </c>
      <c r="I507">
        <f t="shared" si="7"/>
        <v>0.85499999999999998</v>
      </c>
      <c r="J507">
        <f>MAX(300,SUM('Control Panel'!$B$1*I507))</f>
        <v>300</v>
      </c>
    </row>
    <row r="508" spans="1:10" x14ac:dyDescent="0.25">
      <c r="A508" s="5">
        <v>46512</v>
      </c>
      <c r="B508" s="7" t="s">
        <v>13</v>
      </c>
      <c r="C508" s="9" t="s">
        <v>15</v>
      </c>
      <c r="D508">
        <f>_xlfn.XLOOKUP(C508, 'Control Panel'!$B$4:$B$8,'Control Panel'!$C$4:$C$8,"0")</f>
        <v>0.9</v>
      </c>
      <c r="E508">
        <f>_xlfn.XLOOKUP(B508, 'Control Panel'!$B$11:$B$17,'Control Panel'!$C$11:$C$17,"0")</f>
        <v>0.95</v>
      </c>
      <c r="G508" s="9" t="str">
        <f>_xlfn.XLOOKUP(F508, 'Control Panel'!$B$20:$B$26,'Control Panel'!$C$20:$C$26,"0")</f>
        <v>0</v>
      </c>
      <c r="H508">
        <v>0</v>
      </c>
      <c r="I508">
        <f t="shared" si="7"/>
        <v>0.85499999999999998</v>
      </c>
      <c r="J508">
        <f>MAX(300,SUM('Control Panel'!$B$1*I508))</f>
        <v>300</v>
      </c>
    </row>
    <row r="509" spans="1:10" x14ac:dyDescent="0.25">
      <c r="A509" s="5">
        <v>46513</v>
      </c>
      <c r="B509" s="7" t="s">
        <v>5</v>
      </c>
      <c r="C509" s="9" t="s">
        <v>15</v>
      </c>
      <c r="D509">
        <f>_xlfn.XLOOKUP(C509, 'Control Panel'!$B$4:$B$8,'Control Panel'!$C$4:$C$8,"0")</f>
        <v>0.9</v>
      </c>
      <c r="E509">
        <f>_xlfn.XLOOKUP(B509, 'Control Panel'!$B$11:$B$17,'Control Panel'!$C$11:$C$17,"0")</f>
        <v>0.95</v>
      </c>
      <c r="G509" s="9" t="str">
        <f>_xlfn.XLOOKUP(F509, 'Control Panel'!$B$20:$B$26,'Control Panel'!$C$20:$C$26,"0")</f>
        <v>0</v>
      </c>
      <c r="H509">
        <v>0</v>
      </c>
      <c r="I509">
        <f t="shared" si="7"/>
        <v>0.85499999999999998</v>
      </c>
      <c r="J509">
        <f>MAX(300,SUM('Control Panel'!$B$1*I509))</f>
        <v>300</v>
      </c>
    </row>
    <row r="510" spans="1:10" x14ac:dyDescent="0.25">
      <c r="A510" s="5">
        <v>46514</v>
      </c>
      <c r="B510" s="7" t="s">
        <v>8</v>
      </c>
      <c r="C510" s="9" t="s">
        <v>15</v>
      </c>
      <c r="D510">
        <f>_xlfn.XLOOKUP(C510, 'Control Panel'!$B$4:$B$8,'Control Panel'!$C$4:$C$8,"0")</f>
        <v>0.9</v>
      </c>
      <c r="E510">
        <f>_xlfn.XLOOKUP(B510, 'Control Panel'!$B$11:$B$17,'Control Panel'!$C$11:$C$17,"0")</f>
        <v>1.1000000000000001</v>
      </c>
      <c r="G510" s="9" t="str">
        <f>_xlfn.XLOOKUP(F510, 'Control Panel'!$B$20:$B$26,'Control Panel'!$C$20:$C$26,"0")</f>
        <v>0</v>
      </c>
      <c r="H510">
        <v>0</v>
      </c>
      <c r="I510">
        <f t="shared" si="7"/>
        <v>0.9900000000000001</v>
      </c>
      <c r="J510">
        <f>MAX(300,SUM('Control Panel'!$B$1*I510))</f>
        <v>300</v>
      </c>
    </row>
    <row r="511" spans="1:10" x14ac:dyDescent="0.25">
      <c r="A511" s="5">
        <v>46515</v>
      </c>
      <c r="B511" s="7" t="s">
        <v>9</v>
      </c>
      <c r="C511" s="9" t="s">
        <v>15</v>
      </c>
      <c r="D511">
        <f>_xlfn.XLOOKUP(C511, 'Control Panel'!$B$4:$B$8,'Control Panel'!$C$4:$C$8,"0")</f>
        <v>0.9</v>
      </c>
      <c r="E511">
        <f>_xlfn.XLOOKUP(B511, 'Control Panel'!$B$11:$B$17,'Control Panel'!$C$11:$C$17,"0")</f>
        <v>1.25</v>
      </c>
      <c r="G511" s="9" t="str">
        <f>_xlfn.XLOOKUP(F511, 'Control Panel'!$B$20:$B$26,'Control Panel'!$C$20:$C$26,"0")</f>
        <v>0</v>
      </c>
      <c r="H511">
        <v>0</v>
      </c>
      <c r="I511">
        <f t="shared" si="7"/>
        <v>1.125</v>
      </c>
      <c r="J511">
        <f>MAX(300,SUM('Control Panel'!$B$1*I511))</f>
        <v>337.5</v>
      </c>
    </row>
    <row r="512" spans="1:10" x14ac:dyDescent="0.25">
      <c r="A512" s="5">
        <v>46516</v>
      </c>
      <c r="B512" s="7" t="s">
        <v>10</v>
      </c>
      <c r="C512" s="9" t="s">
        <v>15</v>
      </c>
      <c r="D512">
        <f>_xlfn.XLOOKUP(C512, 'Control Panel'!$B$4:$B$8,'Control Panel'!$C$4:$C$8,"0")</f>
        <v>0.9</v>
      </c>
      <c r="E512">
        <f>_xlfn.XLOOKUP(B512, 'Control Panel'!$B$11:$B$17,'Control Panel'!$C$11:$C$17,"0")</f>
        <v>1.05</v>
      </c>
      <c r="G512" s="9" t="str">
        <f>_xlfn.XLOOKUP(F512, 'Control Panel'!$B$20:$B$26,'Control Panel'!$C$20:$C$26,"0")</f>
        <v>0</v>
      </c>
      <c r="H512">
        <v>0</v>
      </c>
      <c r="I512">
        <f t="shared" si="7"/>
        <v>0.94500000000000006</v>
      </c>
      <c r="J512">
        <f>MAX(300,SUM('Control Panel'!$B$1*I512))</f>
        <v>300</v>
      </c>
    </row>
    <row r="513" spans="1:10" x14ac:dyDescent="0.25">
      <c r="A513" s="5">
        <v>46517</v>
      </c>
      <c r="B513" s="7" t="s">
        <v>11</v>
      </c>
      <c r="C513" s="9" t="s">
        <v>15</v>
      </c>
      <c r="D513">
        <f>_xlfn.XLOOKUP(C513, 'Control Panel'!$B$4:$B$8,'Control Panel'!$C$4:$C$8,"0")</f>
        <v>0.9</v>
      </c>
      <c r="E513">
        <f>_xlfn.XLOOKUP(B513, 'Control Panel'!$B$11:$B$17,'Control Panel'!$C$11:$C$17,"0")</f>
        <v>0.95</v>
      </c>
      <c r="G513" s="9" t="str">
        <f>_xlfn.XLOOKUP(F513, 'Control Panel'!$B$20:$B$26,'Control Panel'!$C$20:$C$26,"0")</f>
        <v>0</v>
      </c>
      <c r="H513">
        <v>0</v>
      </c>
      <c r="I513">
        <f t="shared" si="7"/>
        <v>0.85499999999999998</v>
      </c>
      <c r="J513">
        <f>MAX(300,SUM('Control Panel'!$B$1*I513))</f>
        <v>300</v>
      </c>
    </row>
    <row r="514" spans="1:10" x14ac:dyDescent="0.25">
      <c r="A514" s="5">
        <v>46518</v>
      </c>
      <c r="B514" s="7" t="s">
        <v>12</v>
      </c>
      <c r="C514" s="9" t="s">
        <v>15</v>
      </c>
      <c r="D514">
        <f>_xlfn.XLOOKUP(C514, 'Control Panel'!$B$4:$B$8,'Control Panel'!$C$4:$C$8,"0")</f>
        <v>0.9</v>
      </c>
      <c r="E514">
        <f>_xlfn.XLOOKUP(B514, 'Control Panel'!$B$11:$B$17,'Control Panel'!$C$11:$C$17,"0")</f>
        <v>0.95</v>
      </c>
      <c r="G514" s="9" t="str">
        <f>_xlfn.XLOOKUP(F514, 'Control Panel'!$B$20:$B$26,'Control Panel'!$C$20:$C$26,"0")</f>
        <v>0</v>
      </c>
      <c r="H514">
        <v>0</v>
      </c>
      <c r="I514">
        <f t="shared" si="7"/>
        <v>0.85499999999999998</v>
      </c>
      <c r="J514">
        <f>MAX(300,SUM('Control Panel'!$B$1*I514))</f>
        <v>300</v>
      </c>
    </row>
    <row r="515" spans="1:10" x14ac:dyDescent="0.25">
      <c r="A515" s="5">
        <v>46519</v>
      </c>
      <c r="B515" s="7" t="s">
        <v>13</v>
      </c>
      <c r="C515" s="9" t="s">
        <v>15</v>
      </c>
      <c r="D515">
        <f>_xlfn.XLOOKUP(C515, 'Control Panel'!$B$4:$B$8,'Control Panel'!$C$4:$C$8,"0")</f>
        <v>0.9</v>
      </c>
      <c r="E515">
        <f>_xlfn.XLOOKUP(B515, 'Control Panel'!$B$11:$B$17,'Control Panel'!$C$11:$C$17,"0")</f>
        <v>0.95</v>
      </c>
      <c r="G515" s="9" t="str">
        <f>_xlfn.XLOOKUP(F515, 'Control Panel'!$B$20:$B$26,'Control Panel'!$C$20:$C$26,"0")</f>
        <v>0</v>
      </c>
      <c r="H515">
        <v>0</v>
      </c>
      <c r="I515">
        <f t="shared" si="7"/>
        <v>0.85499999999999998</v>
      </c>
      <c r="J515">
        <f>MAX(300,SUM('Control Panel'!$B$1*I515))</f>
        <v>300</v>
      </c>
    </row>
    <row r="516" spans="1:10" x14ac:dyDescent="0.25">
      <c r="A516" s="5">
        <v>46520</v>
      </c>
      <c r="B516" s="7" t="s">
        <v>5</v>
      </c>
      <c r="C516" s="9" t="s">
        <v>15</v>
      </c>
      <c r="D516">
        <f>_xlfn.XLOOKUP(C516, 'Control Panel'!$B$4:$B$8,'Control Panel'!$C$4:$C$8,"0")</f>
        <v>0.9</v>
      </c>
      <c r="E516">
        <f>_xlfn.XLOOKUP(B516, 'Control Panel'!$B$11:$B$17,'Control Panel'!$C$11:$C$17,"0")</f>
        <v>0.95</v>
      </c>
      <c r="G516" s="9" t="str">
        <f>_xlfn.XLOOKUP(F516, 'Control Panel'!$B$20:$B$26,'Control Panel'!$C$20:$C$26,"0")</f>
        <v>0</v>
      </c>
      <c r="H516">
        <v>0</v>
      </c>
      <c r="I516">
        <f t="shared" si="7"/>
        <v>0.85499999999999998</v>
      </c>
      <c r="J516">
        <f>MAX(300,SUM('Control Panel'!$B$1*I516))</f>
        <v>300</v>
      </c>
    </row>
    <row r="517" spans="1:10" x14ac:dyDescent="0.25">
      <c r="A517" s="5">
        <v>46521</v>
      </c>
      <c r="B517" s="7" t="s">
        <v>8</v>
      </c>
      <c r="C517" s="9" t="s">
        <v>15</v>
      </c>
      <c r="D517">
        <f>_xlfn.XLOOKUP(C517, 'Control Panel'!$B$4:$B$8,'Control Panel'!$C$4:$C$8,"0")</f>
        <v>0.9</v>
      </c>
      <c r="E517">
        <f>_xlfn.XLOOKUP(B517, 'Control Panel'!$B$11:$B$17,'Control Panel'!$C$11:$C$17,"0")</f>
        <v>1.1000000000000001</v>
      </c>
      <c r="G517" s="9" t="str">
        <f>_xlfn.XLOOKUP(F517, 'Control Panel'!$B$20:$B$26,'Control Panel'!$C$20:$C$26,"0")</f>
        <v>0</v>
      </c>
      <c r="H517">
        <v>0</v>
      </c>
      <c r="I517">
        <f t="shared" si="7"/>
        <v>0.9900000000000001</v>
      </c>
      <c r="J517">
        <f>MAX(300,SUM('Control Panel'!$B$1*I517))</f>
        <v>300</v>
      </c>
    </row>
    <row r="518" spans="1:10" x14ac:dyDescent="0.25">
      <c r="A518" s="5">
        <v>46522</v>
      </c>
      <c r="B518" s="7" t="s">
        <v>9</v>
      </c>
      <c r="C518" s="9" t="s">
        <v>15</v>
      </c>
      <c r="D518">
        <f>_xlfn.XLOOKUP(C518, 'Control Panel'!$B$4:$B$8,'Control Panel'!$C$4:$C$8,"0")</f>
        <v>0.9</v>
      </c>
      <c r="E518">
        <f>_xlfn.XLOOKUP(B518, 'Control Panel'!$B$11:$B$17,'Control Panel'!$C$11:$C$17,"0")</f>
        <v>1.25</v>
      </c>
      <c r="G518" s="9" t="str">
        <f>_xlfn.XLOOKUP(F518, 'Control Panel'!$B$20:$B$26,'Control Panel'!$C$20:$C$26,"0")</f>
        <v>0</v>
      </c>
      <c r="H518">
        <v>0</v>
      </c>
      <c r="I518">
        <f t="shared" si="7"/>
        <v>1.125</v>
      </c>
      <c r="J518">
        <f>MAX(300,SUM('Control Panel'!$B$1*I518))</f>
        <v>337.5</v>
      </c>
    </row>
    <row r="519" spans="1:10" x14ac:dyDescent="0.25">
      <c r="A519" s="5">
        <v>46523</v>
      </c>
      <c r="B519" s="7" t="s">
        <v>10</v>
      </c>
      <c r="C519" s="9" t="s">
        <v>15</v>
      </c>
      <c r="D519">
        <f>_xlfn.XLOOKUP(C519, 'Control Panel'!$B$4:$B$8,'Control Panel'!$C$4:$C$8,"0")</f>
        <v>0.9</v>
      </c>
      <c r="E519">
        <f>_xlfn.XLOOKUP(B519, 'Control Panel'!$B$11:$B$17,'Control Panel'!$C$11:$C$17,"0")</f>
        <v>1.05</v>
      </c>
      <c r="G519" s="9" t="str">
        <f>_xlfn.XLOOKUP(F519, 'Control Panel'!$B$20:$B$26,'Control Panel'!$C$20:$C$26,"0")</f>
        <v>0</v>
      </c>
      <c r="H519">
        <v>0</v>
      </c>
      <c r="I519">
        <f t="shared" si="7"/>
        <v>0.94500000000000006</v>
      </c>
      <c r="J519">
        <f>MAX(300,SUM('Control Panel'!$B$1*I519))</f>
        <v>300</v>
      </c>
    </row>
    <row r="520" spans="1:10" x14ac:dyDescent="0.25">
      <c r="A520" s="5">
        <v>46524</v>
      </c>
      <c r="B520" s="7" t="s">
        <v>11</v>
      </c>
      <c r="C520" s="9" t="s">
        <v>15</v>
      </c>
      <c r="D520">
        <f>_xlfn.XLOOKUP(C520, 'Control Panel'!$B$4:$B$8,'Control Panel'!$C$4:$C$8,"0")</f>
        <v>0.9</v>
      </c>
      <c r="E520">
        <f>_xlfn.XLOOKUP(B520, 'Control Panel'!$B$11:$B$17,'Control Panel'!$C$11:$C$17,"0")</f>
        <v>0.95</v>
      </c>
      <c r="G520" s="9" t="str">
        <f>_xlfn.XLOOKUP(F520, 'Control Panel'!$B$20:$B$26,'Control Panel'!$C$20:$C$26,"0")</f>
        <v>0</v>
      </c>
      <c r="H520">
        <v>0</v>
      </c>
      <c r="I520">
        <f t="shared" si="7"/>
        <v>0.85499999999999998</v>
      </c>
      <c r="J520">
        <f>MAX(300,SUM('Control Panel'!$B$1*I520))</f>
        <v>300</v>
      </c>
    </row>
    <row r="521" spans="1:10" x14ac:dyDescent="0.25">
      <c r="A521" s="5">
        <v>46525</v>
      </c>
      <c r="B521" s="7" t="s">
        <v>12</v>
      </c>
      <c r="C521" s="9" t="s">
        <v>15</v>
      </c>
      <c r="D521">
        <f>_xlfn.XLOOKUP(C521, 'Control Panel'!$B$4:$B$8,'Control Panel'!$C$4:$C$8,"0")</f>
        <v>0.9</v>
      </c>
      <c r="E521">
        <f>_xlfn.XLOOKUP(B521, 'Control Panel'!$B$11:$B$17,'Control Panel'!$C$11:$C$17,"0")</f>
        <v>0.95</v>
      </c>
      <c r="G521" s="9" t="str">
        <f>_xlfn.XLOOKUP(F521, 'Control Panel'!$B$20:$B$26,'Control Panel'!$C$20:$C$26,"0")</f>
        <v>0</v>
      </c>
      <c r="H521">
        <v>0</v>
      </c>
      <c r="I521">
        <f t="shared" si="7"/>
        <v>0.85499999999999998</v>
      </c>
      <c r="J521">
        <f>MAX(300,SUM('Control Panel'!$B$1*I521))</f>
        <v>300</v>
      </c>
    </row>
    <row r="522" spans="1:10" x14ac:dyDescent="0.25">
      <c r="A522" s="5">
        <v>46526</v>
      </c>
      <c r="B522" s="7" t="s">
        <v>13</v>
      </c>
      <c r="C522" s="9" t="s">
        <v>15</v>
      </c>
      <c r="D522">
        <f>_xlfn.XLOOKUP(C522, 'Control Panel'!$B$4:$B$8,'Control Panel'!$C$4:$C$8,"0")</f>
        <v>0.9</v>
      </c>
      <c r="E522">
        <f>_xlfn.XLOOKUP(B522, 'Control Panel'!$B$11:$B$17,'Control Panel'!$C$11:$C$17,"0")</f>
        <v>0.95</v>
      </c>
      <c r="G522" s="9" t="str">
        <f>_xlfn.XLOOKUP(F522, 'Control Panel'!$B$20:$B$26,'Control Panel'!$C$20:$C$26,"0")</f>
        <v>0</v>
      </c>
      <c r="H522">
        <v>0</v>
      </c>
      <c r="I522">
        <f t="shared" si="7"/>
        <v>0.85499999999999998</v>
      </c>
      <c r="J522">
        <f>MAX(300,SUM('Control Panel'!$B$1*I522))</f>
        <v>300</v>
      </c>
    </row>
    <row r="523" spans="1:10" x14ac:dyDescent="0.25">
      <c r="A523" s="5">
        <v>46527</v>
      </c>
      <c r="B523" s="7" t="s">
        <v>5</v>
      </c>
      <c r="C523" s="9" t="s">
        <v>15</v>
      </c>
      <c r="D523">
        <f>_xlfn.XLOOKUP(C523, 'Control Panel'!$B$4:$B$8,'Control Panel'!$C$4:$C$8,"0")</f>
        <v>0.9</v>
      </c>
      <c r="E523">
        <f>_xlfn.XLOOKUP(B523, 'Control Panel'!$B$11:$B$17,'Control Panel'!$C$11:$C$17,"0")</f>
        <v>0.95</v>
      </c>
      <c r="G523" s="9" t="str">
        <f>_xlfn.XLOOKUP(F523, 'Control Panel'!$B$20:$B$26,'Control Panel'!$C$20:$C$26,"0")</f>
        <v>0</v>
      </c>
      <c r="H523">
        <v>0</v>
      </c>
      <c r="I523">
        <f t="shared" si="7"/>
        <v>0.85499999999999998</v>
      </c>
      <c r="J523">
        <f>MAX(300,SUM('Control Panel'!$B$1*I523))</f>
        <v>300</v>
      </c>
    </row>
    <row r="524" spans="1:10" x14ac:dyDescent="0.25">
      <c r="A524" s="5">
        <v>46528</v>
      </c>
      <c r="B524" s="7" t="s">
        <v>8</v>
      </c>
      <c r="C524" s="9" t="s">
        <v>15</v>
      </c>
      <c r="D524">
        <f>_xlfn.XLOOKUP(C524, 'Control Panel'!$B$4:$B$8,'Control Panel'!$C$4:$C$8,"0")</f>
        <v>0.9</v>
      </c>
      <c r="E524">
        <f>_xlfn.XLOOKUP(B524, 'Control Panel'!$B$11:$B$17,'Control Panel'!$C$11:$C$17,"0")</f>
        <v>1.1000000000000001</v>
      </c>
      <c r="G524" s="9" t="str">
        <f>_xlfn.XLOOKUP(F524, 'Control Panel'!$B$20:$B$26,'Control Panel'!$C$20:$C$26,"0")</f>
        <v>0</v>
      </c>
      <c r="H524">
        <v>0</v>
      </c>
      <c r="I524">
        <f t="shared" si="7"/>
        <v>0.9900000000000001</v>
      </c>
      <c r="J524">
        <f>MAX(300,SUM('Control Panel'!$B$1*I524))</f>
        <v>300</v>
      </c>
    </row>
    <row r="525" spans="1:10" x14ac:dyDescent="0.25">
      <c r="A525" s="5">
        <v>46529</v>
      </c>
      <c r="B525" s="7" t="s">
        <v>9</v>
      </c>
      <c r="C525" s="9" t="s">
        <v>15</v>
      </c>
      <c r="D525">
        <f>_xlfn.XLOOKUP(C525, 'Control Panel'!$B$4:$B$8,'Control Panel'!$C$4:$C$8,"0")</f>
        <v>0.9</v>
      </c>
      <c r="E525">
        <f>_xlfn.XLOOKUP(B525, 'Control Panel'!$B$11:$B$17,'Control Panel'!$C$11:$C$17,"0")</f>
        <v>1.25</v>
      </c>
      <c r="G525" s="9" t="str">
        <f>_xlfn.XLOOKUP(F525, 'Control Panel'!$B$20:$B$26,'Control Panel'!$C$20:$C$26,"0")</f>
        <v>0</v>
      </c>
      <c r="H525">
        <v>0</v>
      </c>
      <c r="I525">
        <f t="shared" si="7"/>
        <v>1.125</v>
      </c>
      <c r="J525">
        <f>MAX(300,SUM('Control Panel'!$B$1*I525))</f>
        <v>337.5</v>
      </c>
    </row>
    <row r="526" spans="1:10" x14ac:dyDescent="0.25">
      <c r="A526" s="5">
        <v>46530</v>
      </c>
      <c r="B526" s="7" t="s">
        <v>10</v>
      </c>
      <c r="C526" s="9" t="s">
        <v>15</v>
      </c>
      <c r="D526">
        <f>_xlfn.XLOOKUP(C526, 'Control Panel'!$B$4:$B$8,'Control Panel'!$C$4:$C$8,"0")</f>
        <v>0.9</v>
      </c>
      <c r="E526">
        <f>_xlfn.XLOOKUP(B526, 'Control Panel'!$B$11:$B$17,'Control Panel'!$C$11:$C$17,"0")</f>
        <v>1.05</v>
      </c>
      <c r="G526" s="9" t="str">
        <f>_xlfn.XLOOKUP(F526, 'Control Panel'!$B$20:$B$26,'Control Panel'!$C$20:$C$26,"0")</f>
        <v>0</v>
      </c>
      <c r="H526">
        <v>0</v>
      </c>
      <c r="I526">
        <f t="shared" si="7"/>
        <v>0.94500000000000006</v>
      </c>
      <c r="J526">
        <f>MAX(300,SUM('Control Panel'!$B$1*I526))</f>
        <v>300</v>
      </c>
    </row>
    <row r="527" spans="1:10" x14ac:dyDescent="0.25">
      <c r="A527" s="5">
        <v>46531</v>
      </c>
      <c r="B527" s="7" t="s">
        <v>11</v>
      </c>
      <c r="C527" s="9" t="s">
        <v>15</v>
      </c>
      <c r="D527">
        <f>_xlfn.XLOOKUP(C527, 'Control Panel'!$B$4:$B$8,'Control Panel'!$C$4:$C$8,"0")</f>
        <v>0.9</v>
      </c>
      <c r="E527">
        <f>_xlfn.XLOOKUP(B527, 'Control Panel'!$B$11:$B$17,'Control Panel'!$C$11:$C$17,"0")</f>
        <v>0.95</v>
      </c>
      <c r="G527" s="9" t="str">
        <f>_xlfn.XLOOKUP(F527, 'Control Panel'!$B$20:$B$26,'Control Panel'!$C$20:$C$26,"0")</f>
        <v>0</v>
      </c>
      <c r="H527">
        <v>0</v>
      </c>
      <c r="I527">
        <f t="shared" si="7"/>
        <v>0.85499999999999998</v>
      </c>
      <c r="J527">
        <f>MAX(300,SUM('Control Panel'!$B$1*I527))</f>
        <v>300</v>
      </c>
    </row>
    <row r="528" spans="1:10" x14ac:dyDescent="0.25">
      <c r="A528" s="5">
        <v>46532</v>
      </c>
      <c r="B528" s="7" t="s">
        <v>12</v>
      </c>
      <c r="C528" s="9" t="s">
        <v>15</v>
      </c>
      <c r="D528">
        <f>_xlfn.XLOOKUP(C528, 'Control Panel'!$B$4:$B$8,'Control Panel'!$C$4:$C$8,"0")</f>
        <v>0.9</v>
      </c>
      <c r="E528">
        <f>_xlfn.XLOOKUP(B528, 'Control Panel'!$B$11:$B$17,'Control Panel'!$C$11:$C$17,"0")</f>
        <v>0.95</v>
      </c>
      <c r="G528" s="9" t="str">
        <f>_xlfn.XLOOKUP(F528, 'Control Panel'!$B$20:$B$26,'Control Panel'!$C$20:$C$26,"0")</f>
        <v>0</v>
      </c>
      <c r="H528">
        <v>0</v>
      </c>
      <c r="I528">
        <f t="shared" si="7"/>
        <v>0.85499999999999998</v>
      </c>
      <c r="J528">
        <f>MAX(300,SUM('Control Panel'!$B$1*I528))</f>
        <v>300</v>
      </c>
    </row>
    <row r="529" spans="1:10" x14ac:dyDescent="0.25">
      <c r="A529" s="5">
        <v>46533</v>
      </c>
      <c r="B529" s="7" t="s">
        <v>13</v>
      </c>
      <c r="C529" s="9" t="s">
        <v>15</v>
      </c>
      <c r="D529">
        <f>_xlfn.XLOOKUP(C529, 'Control Panel'!$B$4:$B$8,'Control Panel'!$C$4:$C$8,"0")</f>
        <v>0.9</v>
      </c>
      <c r="E529">
        <f>_xlfn.XLOOKUP(B529, 'Control Panel'!$B$11:$B$17,'Control Panel'!$C$11:$C$17,"0")</f>
        <v>0.95</v>
      </c>
      <c r="G529" s="9" t="str">
        <f>_xlfn.XLOOKUP(F529, 'Control Panel'!$B$20:$B$26,'Control Panel'!$C$20:$C$26,"0")</f>
        <v>0</v>
      </c>
      <c r="H529">
        <v>0</v>
      </c>
      <c r="I529">
        <f t="shared" si="7"/>
        <v>0.85499999999999998</v>
      </c>
      <c r="J529">
        <f>MAX(300,SUM('Control Panel'!$B$1*I529))</f>
        <v>300</v>
      </c>
    </row>
    <row r="530" spans="1:10" x14ac:dyDescent="0.25">
      <c r="A530" s="5">
        <v>46534</v>
      </c>
      <c r="B530" s="7" t="s">
        <v>5</v>
      </c>
      <c r="C530" s="9" t="s">
        <v>15</v>
      </c>
      <c r="D530">
        <f>_xlfn.XLOOKUP(C530, 'Control Panel'!$B$4:$B$8,'Control Panel'!$C$4:$C$8,"0")</f>
        <v>0.9</v>
      </c>
      <c r="E530">
        <f>_xlfn.XLOOKUP(B530, 'Control Panel'!$B$11:$B$17,'Control Panel'!$C$11:$C$17,"0")</f>
        <v>0.95</v>
      </c>
      <c r="G530" s="9" t="str">
        <f>_xlfn.XLOOKUP(F530, 'Control Panel'!$B$20:$B$26,'Control Panel'!$C$20:$C$26,"0")</f>
        <v>0</v>
      </c>
      <c r="H530">
        <v>0</v>
      </c>
      <c r="I530">
        <f t="shared" si="7"/>
        <v>0.85499999999999998</v>
      </c>
      <c r="J530">
        <f>MAX(300,SUM('Control Panel'!$B$1*I530))</f>
        <v>300</v>
      </c>
    </row>
    <row r="531" spans="1:10" x14ac:dyDescent="0.25">
      <c r="A531" s="5">
        <v>46535</v>
      </c>
      <c r="B531" s="7" t="s">
        <v>8</v>
      </c>
      <c r="C531" s="9" t="s">
        <v>15</v>
      </c>
      <c r="D531">
        <f>_xlfn.XLOOKUP(C531, 'Control Panel'!$B$4:$B$8,'Control Panel'!$C$4:$C$8,"0")</f>
        <v>0.9</v>
      </c>
      <c r="E531">
        <f>_xlfn.XLOOKUP(B531, 'Control Panel'!$B$11:$B$17,'Control Panel'!$C$11:$C$17,"0")</f>
        <v>1.1000000000000001</v>
      </c>
      <c r="G531" s="9" t="str">
        <f>_xlfn.XLOOKUP(F531, 'Control Panel'!$B$20:$B$26,'Control Panel'!$C$20:$C$26,"0")</f>
        <v>0</v>
      </c>
      <c r="H531">
        <v>0</v>
      </c>
      <c r="I531">
        <f t="shared" si="7"/>
        <v>0.9900000000000001</v>
      </c>
      <c r="J531">
        <f>MAX(300,SUM('Control Panel'!$B$1*I531))</f>
        <v>300</v>
      </c>
    </row>
    <row r="532" spans="1:10" x14ac:dyDescent="0.25">
      <c r="A532" s="5">
        <v>46536</v>
      </c>
      <c r="B532" s="7" t="s">
        <v>9</v>
      </c>
      <c r="C532" s="9" t="s">
        <v>15</v>
      </c>
      <c r="D532">
        <f>_xlfn.XLOOKUP(C532, 'Control Panel'!$B$4:$B$8,'Control Panel'!$C$4:$C$8,"0")</f>
        <v>0.9</v>
      </c>
      <c r="E532">
        <f>_xlfn.XLOOKUP(B532, 'Control Panel'!$B$11:$B$17,'Control Panel'!$C$11:$C$17,"0")</f>
        <v>1.25</v>
      </c>
      <c r="G532" s="9" t="str">
        <f>_xlfn.XLOOKUP(F532, 'Control Panel'!$B$20:$B$26,'Control Panel'!$C$20:$C$26,"0")</f>
        <v>0</v>
      </c>
      <c r="H532">
        <v>0</v>
      </c>
      <c r="I532">
        <f t="shared" si="7"/>
        <v>1.125</v>
      </c>
      <c r="J532">
        <f>MAX(300,SUM('Control Panel'!$B$1*I532))</f>
        <v>337.5</v>
      </c>
    </row>
    <row r="533" spans="1:10" x14ac:dyDescent="0.25">
      <c r="A533" s="5">
        <v>46537</v>
      </c>
      <c r="B533" s="7" t="s">
        <v>10</v>
      </c>
      <c r="C533" s="9" t="s">
        <v>15</v>
      </c>
      <c r="D533">
        <f>_xlfn.XLOOKUP(C533, 'Control Panel'!$B$4:$B$8,'Control Panel'!$C$4:$C$8,"0")</f>
        <v>0.9</v>
      </c>
      <c r="E533">
        <f>_xlfn.XLOOKUP(B533, 'Control Panel'!$B$11:$B$17,'Control Panel'!$C$11:$C$17,"0")</f>
        <v>1.05</v>
      </c>
      <c r="G533" s="9" t="str">
        <f>_xlfn.XLOOKUP(F533, 'Control Panel'!$B$20:$B$26,'Control Panel'!$C$20:$C$26,"0")</f>
        <v>0</v>
      </c>
      <c r="H533">
        <v>0</v>
      </c>
      <c r="I533">
        <f t="shared" ref="I533:I599" si="8">(D533*E533)+G533+H533</f>
        <v>0.94500000000000006</v>
      </c>
      <c r="J533">
        <f>MAX(300,SUM('Control Panel'!$B$1*I533))</f>
        <v>300</v>
      </c>
    </row>
    <row r="534" spans="1:10" x14ac:dyDescent="0.25">
      <c r="A534" s="5">
        <v>46538</v>
      </c>
      <c r="B534" s="7" t="s">
        <v>11</v>
      </c>
      <c r="C534" s="9" t="s">
        <v>15</v>
      </c>
      <c r="D534">
        <f>_xlfn.XLOOKUP(C534, 'Control Panel'!$B$4:$B$8,'Control Panel'!$C$4:$C$8,"0")</f>
        <v>0.9</v>
      </c>
      <c r="E534">
        <f>_xlfn.XLOOKUP(B534, 'Control Panel'!$B$11:$B$17,'Control Panel'!$C$11:$C$17,"0")</f>
        <v>0.95</v>
      </c>
      <c r="G534" s="9" t="str">
        <f>_xlfn.XLOOKUP(F534, 'Control Panel'!$B$20:$B$26,'Control Panel'!$C$20:$C$26,"0")</f>
        <v>0</v>
      </c>
      <c r="H534">
        <v>0</v>
      </c>
      <c r="I534">
        <f t="shared" si="8"/>
        <v>0.85499999999999998</v>
      </c>
      <c r="J534">
        <f>MAX(300,SUM('Control Panel'!$B$1*I534))</f>
        <v>300</v>
      </c>
    </row>
    <row r="535" spans="1:10" x14ac:dyDescent="0.25">
      <c r="A535" s="10" t="s">
        <v>37</v>
      </c>
      <c r="B535" s="13"/>
      <c r="C535" s="14"/>
      <c r="G535" s="9" t="str">
        <f>_xlfn.XLOOKUP(F535, 'Control Panel'!$B$20:$B$26,'Control Panel'!$C$20:$C$26,"0")</f>
        <v>0</v>
      </c>
    </row>
    <row r="536" spans="1:10" x14ac:dyDescent="0.25">
      <c r="A536" s="5">
        <v>46539</v>
      </c>
      <c r="B536" s="7" t="s">
        <v>12</v>
      </c>
      <c r="C536" s="9" t="s">
        <v>16</v>
      </c>
      <c r="D536">
        <f>_xlfn.XLOOKUP(C536, 'Control Panel'!$B$4:$B$8,'Control Panel'!$C$4:$C$8,"0")</f>
        <v>1.3</v>
      </c>
      <c r="E536">
        <f>_xlfn.XLOOKUP(B536, 'Control Panel'!$B$11:$B$17,'Control Panel'!$C$11:$C$17,"0")</f>
        <v>0.95</v>
      </c>
      <c r="G536" s="9" t="str">
        <f>_xlfn.XLOOKUP(F536, 'Control Panel'!$B$20:$B$26,'Control Panel'!$C$20:$C$26,"0")</f>
        <v>0</v>
      </c>
      <c r="H536">
        <v>0</v>
      </c>
      <c r="I536">
        <f t="shared" si="8"/>
        <v>1.2349999999999999</v>
      </c>
      <c r="J536">
        <f>MAX(300,SUM('Control Panel'!$B$1*I536))</f>
        <v>370.49999999999994</v>
      </c>
    </row>
    <row r="537" spans="1:10" x14ac:dyDescent="0.25">
      <c r="A537" s="5">
        <v>46540</v>
      </c>
      <c r="B537" s="7" t="s">
        <v>13</v>
      </c>
      <c r="C537" s="9" t="s">
        <v>16</v>
      </c>
      <c r="D537">
        <f>_xlfn.XLOOKUP(C537, 'Control Panel'!$B$4:$B$8,'Control Panel'!$C$4:$C$8,"0")</f>
        <v>1.3</v>
      </c>
      <c r="E537">
        <f>_xlfn.XLOOKUP(B537, 'Control Panel'!$B$11:$B$17,'Control Panel'!$C$11:$C$17,"0")</f>
        <v>0.95</v>
      </c>
      <c r="G537" s="9" t="str">
        <f>_xlfn.XLOOKUP(F537, 'Control Panel'!$B$20:$B$26,'Control Panel'!$C$20:$C$26,"0")</f>
        <v>0</v>
      </c>
      <c r="H537">
        <v>0</v>
      </c>
      <c r="I537">
        <f t="shared" si="8"/>
        <v>1.2349999999999999</v>
      </c>
      <c r="J537">
        <f>MAX(300,SUM('Control Panel'!$B$1*I537))</f>
        <v>370.49999999999994</v>
      </c>
    </row>
    <row r="538" spans="1:10" x14ac:dyDescent="0.25">
      <c r="A538" s="5">
        <v>46541</v>
      </c>
      <c r="B538" s="7" t="s">
        <v>5</v>
      </c>
      <c r="C538" s="9" t="s">
        <v>16</v>
      </c>
      <c r="D538">
        <f>_xlfn.XLOOKUP(C538, 'Control Panel'!$B$4:$B$8,'Control Panel'!$C$4:$C$8,"0")</f>
        <v>1.3</v>
      </c>
      <c r="E538">
        <f>_xlfn.XLOOKUP(B538, 'Control Panel'!$B$11:$B$17,'Control Panel'!$C$11:$C$17,"0")</f>
        <v>0.95</v>
      </c>
      <c r="G538" s="9" t="str">
        <f>_xlfn.XLOOKUP(F538, 'Control Panel'!$B$20:$B$26,'Control Panel'!$C$20:$C$26,"0")</f>
        <v>0</v>
      </c>
      <c r="H538">
        <v>0</v>
      </c>
      <c r="I538">
        <f t="shared" si="8"/>
        <v>1.2349999999999999</v>
      </c>
      <c r="J538">
        <f>MAX(300,SUM('Control Panel'!$B$1*I538))</f>
        <v>370.49999999999994</v>
      </c>
    </row>
    <row r="539" spans="1:10" x14ac:dyDescent="0.25">
      <c r="A539" s="5">
        <v>46542</v>
      </c>
      <c r="B539" s="7" t="s">
        <v>8</v>
      </c>
      <c r="C539" s="9" t="s">
        <v>16</v>
      </c>
      <c r="D539">
        <f>_xlfn.XLOOKUP(C539, 'Control Panel'!$B$4:$B$8,'Control Panel'!$C$4:$C$8,"0")</f>
        <v>1.3</v>
      </c>
      <c r="E539">
        <f>_xlfn.XLOOKUP(B539, 'Control Panel'!$B$11:$B$17,'Control Panel'!$C$11:$C$17,"0")</f>
        <v>1.1000000000000001</v>
      </c>
      <c r="G539" s="9" t="str">
        <f>_xlfn.XLOOKUP(F539, 'Control Panel'!$B$20:$B$26,'Control Panel'!$C$20:$C$26,"0")</f>
        <v>0</v>
      </c>
      <c r="H539">
        <v>0</v>
      </c>
      <c r="I539">
        <f t="shared" si="8"/>
        <v>1.4300000000000002</v>
      </c>
      <c r="J539">
        <f>MAX(300,SUM('Control Panel'!$B$1*I539))</f>
        <v>429.00000000000006</v>
      </c>
    </row>
    <row r="540" spans="1:10" x14ac:dyDescent="0.25">
      <c r="A540" s="5">
        <v>46543</v>
      </c>
      <c r="B540" s="7" t="s">
        <v>9</v>
      </c>
      <c r="C540" s="9" t="s">
        <v>16</v>
      </c>
      <c r="D540">
        <f>_xlfn.XLOOKUP(C540, 'Control Panel'!$B$4:$B$8,'Control Panel'!$C$4:$C$8,"0")</f>
        <v>1.3</v>
      </c>
      <c r="E540">
        <f>_xlfn.XLOOKUP(B540, 'Control Panel'!$B$11:$B$17,'Control Panel'!$C$11:$C$17,"0")</f>
        <v>1.25</v>
      </c>
      <c r="G540" s="9" t="str">
        <f>_xlfn.XLOOKUP(F540, 'Control Panel'!$B$20:$B$26,'Control Panel'!$C$20:$C$26,"0")</f>
        <v>0</v>
      </c>
      <c r="H540">
        <v>0</v>
      </c>
      <c r="I540">
        <f t="shared" si="8"/>
        <v>1.625</v>
      </c>
      <c r="J540">
        <f>MAX(300,SUM('Control Panel'!$B$1*I540))</f>
        <v>487.5</v>
      </c>
    </row>
    <row r="541" spans="1:10" x14ac:dyDescent="0.25">
      <c r="A541" s="5">
        <v>46544</v>
      </c>
      <c r="B541" s="7" t="s">
        <v>10</v>
      </c>
      <c r="C541" s="9" t="s">
        <v>16</v>
      </c>
      <c r="D541">
        <f>_xlfn.XLOOKUP(C541, 'Control Panel'!$B$4:$B$8,'Control Panel'!$C$4:$C$8,"0")</f>
        <v>1.3</v>
      </c>
      <c r="E541">
        <f>_xlfn.XLOOKUP(B541, 'Control Panel'!$B$11:$B$17,'Control Panel'!$C$11:$C$17,"0")</f>
        <v>1.05</v>
      </c>
      <c r="G541" s="9" t="str">
        <f>_xlfn.XLOOKUP(F541, 'Control Panel'!$B$20:$B$26,'Control Panel'!$C$20:$C$26,"0")</f>
        <v>0</v>
      </c>
      <c r="H541">
        <v>0</v>
      </c>
      <c r="I541">
        <f t="shared" si="8"/>
        <v>1.3650000000000002</v>
      </c>
      <c r="J541">
        <f>MAX(300,SUM('Control Panel'!$B$1*I541))</f>
        <v>409.50000000000006</v>
      </c>
    </row>
    <row r="542" spans="1:10" x14ac:dyDescent="0.25">
      <c r="A542" s="5">
        <v>46545</v>
      </c>
      <c r="B542" s="7" t="s">
        <v>11</v>
      </c>
      <c r="C542" s="9" t="s">
        <v>16</v>
      </c>
      <c r="D542">
        <f>_xlfn.XLOOKUP(C542, 'Control Panel'!$B$4:$B$8,'Control Panel'!$C$4:$C$8,"0")</f>
        <v>1.3</v>
      </c>
      <c r="E542">
        <f>_xlfn.XLOOKUP(B542, 'Control Panel'!$B$11:$B$17,'Control Panel'!$C$11:$C$17,"0")</f>
        <v>0.95</v>
      </c>
      <c r="G542" s="9" t="str">
        <f>_xlfn.XLOOKUP(F542, 'Control Panel'!$B$20:$B$26,'Control Panel'!$C$20:$C$26,"0")</f>
        <v>0</v>
      </c>
      <c r="H542">
        <v>0</v>
      </c>
      <c r="I542">
        <f t="shared" si="8"/>
        <v>1.2349999999999999</v>
      </c>
      <c r="J542">
        <f>MAX(300,SUM('Control Panel'!$B$1*I542))</f>
        <v>370.49999999999994</v>
      </c>
    </row>
    <row r="543" spans="1:10" x14ac:dyDescent="0.25">
      <c r="A543" s="5">
        <v>46546</v>
      </c>
      <c r="B543" s="7" t="s">
        <v>12</v>
      </c>
      <c r="C543" s="9" t="s">
        <v>16</v>
      </c>
      <c r="D543">
        <f>_xlfn.XLOOKUP(C543, 'Control Panel'!$B$4:$B$8,'Control Panel'!$C$4:$C$8,"0")</f>
        <v>1.3</v>
      </c>
      <c r="E543">
        <f>_xlfn.XLOOKUP(B543, 'Control Panel'!$B$11:$B$17,'Control Panel'!$C$11:$C$17,"0")</f>
        <v>0.95</v>
      </c>
      <c r="G543" s="9" t="str">
        <f>_xlfn.XLOOKUP(F543, 'Control Panel'!$B$20:$B$26,'Control Panel'!$C$20:$C$26,"0")</f>
        <v>0</v>
      </c>
      <c r="H543">
        <v>0</v>
      </c>
      <c r="I543">
        <f t="shared" si="8"/>
        <v>1.2349999999999999</v>
      </c>
      <c r="J543">
        <f>MAX(300,SUM('Control Panel'!$B$1*I543))</f>
        <v>370.49999999999994</v>
      </c>
    </row>
    <row r="544" spans="1:10" x14ac:dyDescent="0.25">
      <c r="A544" s="5">
        <v>46547</v>
      </c>
      <c r="B544" s="7" t="s">
        <v>13</v>
      </c>
      <c r="C544" s="9" t="s">
        <v>16</v>
      </c>
      <c r="D544">
        <f>_xlfn.XLOOKUP(C544, 'Control Panel'!$B$4:$B$8,'Control Panel'!$C$4:$C$8,"0")</f>
        <v>1.3</v>
      </c>
      <c r="E544">
        <f>_xlfn.XLOOKUP(B544, 'Control Panel'!$B$11:$B$17,'Control Panel'!$C$11:$C$17,"0")</f>
        <v>0.95</v>
      </c>
      <c r="G544" s="9" t="str">
        <f>_xlfn.XLOOKUP(F544, 'Control Panel'!$B$20:$B$26,'Control Panel'!$C$20:$C$26,"0")</f>
        <v>0</v>
      </c>
      <c r="H544">
        <v>0</v>
      </c>
      <c r="I544">
        <f t="shared" si="8"/>
        <v>1.2349999999999999</v>
      </c>
      <c r="J544">
        <f>MAX(300,SUM('Control Panel'!$B$1*I544))</f>
        <v>370.49999999999994</v>
      </c>
    </row>
    <row r="545" spans="1:10" x14ac:dyDescent="0.25">
      <c r="A545" s="5">
        <v>46548</v>
      </c>
      <c r="B545" s="7" t="s">
        <v>5</v>
      </c>
      <c r="C545" s="9" t="s">
        <v>16</v>
      </c>
      <c r="D545">
        <f>_xlfn.XLOOKUP(C545, 'Control Panel'!$B$4:$B$8,'Control Panel'!$C$4:$C$8,"0")</f>
        <v>1.3</v>
      </c>
      <c r="E545">
        <f>_xlfn.XLOOKUP(B545, 'Control Panel'!$B$11:$B$17,'Control Panel'!$C$11:$C$17,"0")</f>
        <v>0.95</v>
      </c>
      <c r="G545" s="9" t="str">
        <f>_xlfn.XLOOKUP(F545, 'Control Panel'!$B$20:$B$26,'Control Panel'!$C$20:$C$26,"0")</f>
        <v>0</v>
      </c>
      <c r="H545">
        <v>0</v>
      </c>
      <c r="I545">
        <f t="shared" si="8"/>
        <v>1.2349999999999999</v>
      </c>
      <c r="J545">
        <f>MAX(300,SUM('Control Panel'!$B$1*I545))</f>
        <v>370.49999999999994</v>
      </c>
    </row>
    <row r="546" spans="1:10" x14ac:dyDescent="0.25">
      <c r="A546" s="5">
        <v>46549</v>
      </c>
      <c r="B546" s="7" t="s">
        <v>8</v>
      </c>
      <c r="C546" s="9" t="s">
        <v>16</v>
      </c>
      <c r="D546">
        <f>_xlfn.XLOOKUP(C546, 'Control Panel'!$B$4:$B$8,'Control Panel'!$C$4:$C$8,"0")</f>
        <v>1.3</v>
      </c>
      <c r="E546">
        <f>_xlfn.XLOOKUP(B546, 'Control Panel'!$B$11:$B$17,'Control Panel'!$C$11:$C$17,"0")</f>
        <v>1.1000000000000001</v>
      </c>
      <c r="G546" s="9" t="str">
        <f>_xlfn.XLOOKUP(F546, 'Control Panel'!$B$20:$B$26,'Control Panel'!$C$20:$C$26,"0")</f>
        <v>0</v>
      </c>
      <c r="H546">
        <v>0</v>
      </c>
      <c r="I546">
        <f t="shared" si="8"/>
        <v>1.4300000000000002</v>
      </c>
      <c r="J546">
        <f>MAX(300,SUM('Control Panel'!$B$1*I546))</f>
        <v>429.00000000000006</v>
      </c>
    </row>
    <row r="547" spans="1:10" x14ac:dyDescent="0.25">
      <c r="A547" s="5">
        <v>46550</v>
      </c>
      <c r="B547" s="7" t="s">
        <v>9</v>
      </c>
      <c r="C547" s="9" t="s">
        <v>16</v>
      </c>
      <c r="D547">
        <f>_xlfn.XLOOKUP(C547, 'Control Panel'!$B$4:$B$8,'Control Panel'!$C$4:$C$8,"0")</f>
        <v>1.3</v>
      </c>
      <c r="E547">
        <f>_xlfn.XLOOKUP(B547, 'Control Panel'!$B$11:$B$17,'Control Panel'!$C$11:$C$17,"0")</f>
        <v>1.25</v>
      </c>
      <c r="G547" s="9" t="str">
        <f>_xlfn.XLOOKUP(F547, 'Control Panel'!$B$20:$B$26,'Control Panel'!$C$20:$C$26,"0")</f>
        <v>0</v>
      </c>
      <c r="H547">
        <v>0</v>
      </c>
      <c r="I547">
        <f t="shared" si="8"/>
        <v>1.625</v>
      </c>
      <c r="J547">
        <f>MAX(300,SUM('Control Panel'!$B$1*I547))</f>
        <v>487.5</v>
      </c>
    </row>
    <row r="548" spans="1:10" x14ac:dyDescent="0.25">
      <c r="A548" s="5">
        <v>46551</v>
      </c>
      <c r="B548" s="7" t="s">
        <v>10</v>
      </c>
      <c r="C548" s="9" t="s">
        <v>16</v>
      </c>
      <c r="D548">
        <f>_xlfn.XLOOKUP(C548, 'Control Panel'!$B$4:$B$8,'Control Panel'!$C$4:$C$8,"0")</f>
        <v>1.3</v>
      </c>
      <c r="E548">
        <f>_xlfn.XLOOKUP(B548, 'Control Panel'!$B$11:$B$17,'Control Panel'!$C$11:$C$17,"0")</f>
        <v>1.05</v>
      </c>
      <c r="G548" s="9" t="str">
        <f>_xlfn.XLOOKUP(F548, 'Control Panel'!$B$20:$B$26,'Control Panel'!$C$20:$C$26,"0")</f>
        <v>0</v>
      </c>
      <c r="H548">
        <v>0</v>
      </c>
      <c r="I548">
        <f t="shared" si="8"/>
        <v>1.3650000000000002</v>
      </c>
      <c r="J548">
        <f>MAX(300,SUM('Control Panel'!$B$1*I548))</f>
        <v>409.50000000000006</v>
      </c>
    </row>
    <row r="549" spans="1:10" x14ac:dyDescent="0.25">
      <c r="A549" s="5">
        <v>46552</v>
      </c>
      <c r="B549" s="7" t="s">
        <v>11</v>
      </c>
      <c r="C549" s="9" t="s">
        <v>16</v>
      </c>
      <c r="D549">
        <f>_xlfn.XLOOKUP(C549, 'Control Panel'!$B$4:$B$8,'Control Panel'!$C$4:$C$8,"0")</f>
        <v>1.3</v>
      </c>
      <c r="E549">
        <f>_xlfn.XLOOKUP(B549, 'Control Panel'!$B$11:$B$17,'Control Panel'!$C$11:$C$17,"0")</f>
        <v>0.95</v>
      </c>
      <c r="G549" s="9" t="str">
        <f>_xlfn.XLOOKUP(F549, 'Control Panel'!$B$20:$B$26,'Control Panel'!$C$20:$C$26,"0")</f>
        <v>0</v>
      </c>
      <c r="H549">
        <v>0</v>
      </c>
      <c r="I549">
        <f t="shared" si="8"/>
        <v>1.2349999999999999</v>
      </c>
      <c r="J549">
        <f>MAX(300,SUM('Control Panel'!$B$1*I549))</f>
        <v>370.49999999999994</v>
      </c>
    </row>
    <row r="550" spans="1:10" x14ac:dyDescent="0.25">
      <c r="A550" s="5">
        <v>46553</v>
      </c>
      <c r="B550" s="7" t="s">
        <v>12</v>
      </c>
      <c r="C550" s="9" t="s">
        <v>16</v>
      </c>
      <c r="D550">
        <f>_xlfn.XLOOKUP(C550, 'Control Panel'!$B$4:$B$8,'Control Panel'!$C$4:$C$8,"0")</f>
        <v>1.3</v>
      </c>
      <c r="E550">
        <f>_xlfn.XLOOKUP(B550, 'Control Panel'!$B$11:$B$17,'Control Panel'!$C$11:$C$17,"0")</f>
        <v>0.95</v>
      </c>
      <c r="G550" s="9" t="str">
        <f>_xlfn.XLOOKUP(F550, 'Control Panel'!$B$20:$B$26,'Control Panel'!$C$20:$C$26,"0")</f>
        <v>0</v>
      </c>
      <c r="H550">
        <v>0</v>
      </c>
      <c r="I550">
        <f t="shared" si="8"/>
        <v>1.2349999999999999</v>
      </c>
      <c r="J550">
        <f>MAX(300,SUM('Control Panel'!$B$1*I550))</f>
        <v>370.49999999999994</v>
      </c>
    </row>
    <row r="551" spans="1:10" x14ac:dyDescent="0.25">
      <c r="A551" s="5">
        <v>46554</v>
      </c>
      <c r="B551" s="7" t="s">
        <v>13</v>
      </c>
      <c r="C551" s="9" t="s">
        <v>16</v>
      </c>
      <c r="D551">
        <f>_xlfn.XLOOKUP(C551, 'Control Panel'!$B$4:$B$8,'Control Panel'!$C$4:$C$8,"0")</f>
        <v>1.3</v>
      </c>
      <c r="E551">
        <f>_xlfn.XLOOKUP(B551, 'Control Panel'!$B$11:$B$17,'Control Panel'!$C$11:$C$17,"0")</f>
        <v>0.95</v>
      </c>
      <c r="G551" s="9" t="str">
        <f>_xlfn.XLOOKUP(F551, 'Control Panel'!$B$20:$B$26,'Control Panel'!$C$20:$C$26,"0")</f>
        <v>0</v>
      </c>
      <c r="H551">
        <v>0</v>
      </c>
      <c r="I551">
        <f t="shared" si="8"/>
        <v>1.2349999999999999</v>
      </c>
      <c r="J551">
        <f>MAX(300,SUM('Control Panel'!$B$1*I551))</f>
        <v>370.49999999999994</v>
      </c>
    </row>
    <row r="552" spans="1:10" x14ac:dyDescent="0.25">
      <c r="A552" s="5">
        <v>46555</v>
      </c>
      <c r="B552" s="7" t="s">
        <v>5</v>
      </c>
      <c r="C552" s="9" t="s">
        <v>16</v>
      </c>
      <c r="D552">
        <f>_xlfn.XLOOKUP(C552, 'Control Panel'!$B$4:$B$8,'Control Panel'!$C$4:$C$8,"0")</f>
        <v>1.3</v>
      </c>
      <c r="E552">
        <f>_xlfn.XLOOKUP(B552, 'Control Panel'!$B$11:$B$17,'Control Panel'!$C$11:$C$17,"0")</f>
        <v>0.95</v>
      </c>
      <c r="G552" s="9" t="str">
        <f>_xlfn.XLOOKUP(F552, 'Control Panel'!$B$20:$B$26,'Control Panel'!$C$20:$C$26,"0")</f>
        <v>0</v>
      </c>
      <c r="H552">
        <v>0</v>
      </c>
      <c r="I552">
        <f t="shared" si="8"/>
        <v>1.2349999999999999</v>
      </c>
      <c r="J552">
        <f>MAX(300,SUM('Control Panel'!$B$1*I552))</f>
        <v>370.49999999999994</v>
      </c>
    </row>
    <row r="553" spans="1:10" x14ac:dyDescent="0.25">
      <c r="A553" s="5">
        <v>46556</v>
      </c>
      <c r="B553" s="7" t="s">
        <v>8</v>
      </c>
      <c r="C553" s="9" t="s">
        <v>16</v>
      </c>
      <c r="D553">
        <f>_xlfn.XLOOKUP(C553, 'Control Panel'!$B$4:$B$8,'Control Panel'!$C$4:$C$8,"0")</f>
        <v>1.3</v>
      </c>
      <c r="E553">
        <f>_xlfn.XLOOKUP(B553, 'Control Panel'!$B$11:$B$17,'Control Panel'!$C$11:$C$17,"0")</f>
        <v>1.1000000000000001</v>
      </c>
      <c r="G553" s="9" t="str">
        <f>_xlfn.XLOOKUP(F553, 'Control Panel'!$B$20:$B$26,'Control Panel'!$C$20:$C$26,"0")</f>
        <v>0</v>
      </c>
      <c r="H553">
        <v>0</v>
      </c>
      <c r="I553">
        <f t="shared" si="8"/>
        <v>1.4300000000000002</v>
      </c>
      <c r="J553">
        <f>MAX(300,SUM('Control Panel'!$B$1*I553))</f>
        <v>429.00000000000006</v>
      </c>
    </row>
    <row r="554" spans="1:10" x14ac:dyDescent="0.25">
      <c r="A554" s="5">
        <v>46557</v>
      </c>
      <c r="B554" s="7" t="s">
        <v>9</v>
      </c>
      <c r="C554" s="9" t="s">
        <v>16</v>
      </c>
      <c r="D554">
        <f>_xlfn.XLOOKUP(C554, 'Control Panel'!$B$4:$B$8,'Control Panel'!$C$4:$C$8,"0")</f>
        <v>1.3</v>
      </c>
      <c r="E554">
        <f>_xlfn.XLOOKUP(B554, 'Control Panel'!$B$11:$B$17,'Control Panel'!$C$11:$C$17,"0")</f>
        <v>1.25</v>
      </c>
      <c r="G554" s="9" t="str">
        <f>_xlfn.XLOOKUP(F554, 'Control Panel'!$B$20:$B$26,'Control Panel'!$C$20:$C$26,"0")</f>
        <v>0</v>
      </c>
      <c r="H554">
        <v>0</v>
      </c>
      <c r="I554">
        <f t="shared" si="8"/>
        <v>1.625</v>
      </c>
      <c r="J554">
        <f>MAX(300,SUM('Control Panel'!$B$1*I554))</f>
        <v>487.5</v>
      </c>
    </row>
    <row r="555" spans="1:10" x14ac:dyDescent="0.25">
      <c r="A555" s="5">
        <v>46558</v>
      </c>
      <c r="B555" s="7" t="s">
        <v>10</v>
      </c>
      <c r="C555" s="9" t="s">
        <v>16</v>
      </c>
      <c r="D555">
        <f>_xlfn.XLOOKUP(C555, 'Control Panel'!$B$4:$B$8,'Control Panel'!$C$4:$C$8,"0")</f>
        <v>1.3</v>
      </c>
      <c r="E555">
        <f>_xlfn.XLOOKUP(B555, 'Control Panel'!$B$11:$B$17,'Control Panel'!$C$11:$C$17,"0")</f>
        <v>1.05</v>
      </c>
      <c r="G555" s="9" t="str">
        <f>_xlfn.XLOOKUP(F555, 'Control Panel'!$B$20:$B$26,'Control Panel'!$C$20:$C$26,"0")</f>
        <v>0</v>
      </c>
      <c r="H555">
        <v>0</v>
      </c>
      <c r="I555">
        <f t="shared" si="8"/>
        <v>1.3650000000000002</v>
      </c>
      <c r="J555">
        <f>MAX(300,SUM('Control Panel'!$B$1*I555))</f>
        <v>409.50000000000006</v>
      </c>
    </row>
    <row r="556" spans="1:10" x14ac:dyDescent="0.25">
      <c r="A556" s="5">
        <v>46559</v>
      </c>
      <c r="B556" s="7" t="s">
        <v>11</v>
      </c>
      <c r="C556" s="9" t="s">
        <v>16</v>
      </c>
      <c r="D556">
        <f>_xlfn.XLOOKUP(C556, 'Control Panel'!$B$4:$B$8,'Control Panel'!$C$4:$C$8,"0")</f>
        <v>1.3</v>
      </c>
      <c r="E556">
        <f>_xlfn.XLOOKUP(B556, 'Control Panel'!$B$11:$B$17,'Control Panel'!$C$11:$C$17,"0")</f>
        <v>0.95</v>
      </c>
      <c r="G556" s="9" t="str">
        <f>_xlfn.XLOOKUP(F556, 'Control Panel'!$B$20:$B$26,'Control Panel'!$C$20:$C$26,"0")</f>
        <v>0</v>
      </c>
      <c r="H556">
        <v>0</v>
      </c>
      <c r="I556">
        <f t="shared" si="8"/>
        <v>1.2349999999999999</v>
      </c>
      <c r="J556">
        <f>MAX(300,SUM('Control Panel'!$B$1*I556))</f>
        <v>370.49999999999994</v>
      </c>
    </row>
    <row r="557" spans="1:10" x14ac:dyDescent="0.25">
      <c r="A557" s="5">
        <v>46560</v>
      </c>
      <c r="B557" s="7" t="s">
        <v>12</v>
      </c>
      <c r="C557" s="9" t="s">
        <v>16</v>
      </c>
      <c r="D557">
        <f>_xlfn.XLOOKUP(C557, 'Control Panel'!$B$4:$B$8,'Control Panel'!$C$4:$C$8,"0")</f>
        <v>1.3</v>
      </c>
      <c r="E557">
        <f>_xlfn.XLOOKUP(B557, 'Control Panel'!$B$11:$B$17,'Control Panel'!$C$11:$C$17,"0")</f>
        <v>0.95</v>
      </c>
      <c r="G557" s="9" t="str">
        <f>_xlfn.XLOOKUP(F557, 'Control Panel'!$B$20:$B$26,'Control Panel'!$C$20:$C$26,"0")</f>
        <v>0</v>
      </c>
      <c r="H557">
        <v>0</v>
      </c>
      <c r="I557">
        <f t="shared" si="8"/>
        <v>1.2349999999999999</v>
      </c>
      <c r="J557">
        <f>MAX(300,SUM('Control Panel'!$B$1*I557))</f>
        <v>370.49999999999994</v>
      </c>
    </row>
    <row r="558" spans="1:10" x14ac:dyDescent="0.25">
      <c r="A558" s="5">
        <v>46561</v>
      </c>
      <c r="B558" s="7" t="s">
        <v>13</v>
      </c>
      <c r="C558" s="9" t="s">
        <v>16</v>
      </c>
      <c r="D558">
        <f>_xlfn.XLOOKUP(C558, 'Control Panel'!$B$4:$B$8,'Control Panel'!$C$4:$C$8,"0")</f>
        <v>1.3</v>
      </c>
      <c r="E558">
        <f>_xlfn.XLOOKUP(B558, 'Control Panel'!$B$11:$B$17,'Control Panel'!$C$11:$C$17,"0")</f>
        <v>0.95</v>
      </c>
      <c r="G558" s="9" t="str">
        <f>_xlfn.XLOOKUP(F558, 'Control Panel'!$B$20:$B$26,'Control Panel'!$C$20:$C$26,"0")</f>
        <v>0</v>
      </c>
      <c r="H558">
        <v>0</v>
      </c>
      <c r="I558">
        <f t="shared" si="8"/>
        <v>1.2349999999999999</v>
      </c>
      <c r="J558">
        <f>MAX(300,SUM('Control Panel'!$B$1*I558))</f>
        <v>370.49999999999994</v>
      </c>
    </row>
    <row r="559" spans="1:10" x14ac:dyDescent="0.25">
      <c r="A559" s="5">
        <v>46562</v>
      </c>
      <c r="B559" s="7" t="s">
        <v>5</v>
      </c>
      <c r="C559" s="9" t="s">
        <v>16</v>
      </c>
      <c r="D559">
        <f>_xlfn.XLOOKUP(C559, 'Control Panel'!$B$4:$B$8,'Control Panel'!$C$4:$C$8,"0")</f>
        <v>1.3</v>
      </c>
      <c r="E559">
        <f>_xlfn.XLOOKUP(B559, 'Control Panel'!$B$11:$B$17,'Control Panel'!$C$11:$C$17,"0")</f>
        <v>0.95</v>
      </c>
      <c r="F559" t="s">
        <v>17</v>
      </c>
      <c r="G559" s="9">
        <f>_xlfn.XLOOKUP(F559, 'Control Panel'!$B$20:$B$26,'Control Panel'!$C$20:$C$26,"0")</f>
        <v>0.35</v>
      </c>
      <c r="H559">
        <v>0</v>
      </c>
      <c r="I559">
        <f t="shared" si="8"/>
        <v>1.585</v>
      </c>
      <c r="J559">
        <f>MAX(300,SUM('Control Panel'!$B$1*I559))</f>
        <v>475.5</v>
      </c>
    </row>
    <row r="560" spans="1:10" x14ac:dyDescent="0.25">
      <c r="A560" s="5">
        <v>46563</v>
      </c>
      <c r="B560" s="7" t="s">
        <v>8</v>
      </c>
      <c r="C560" s="9" t="s">
        <v>16</v>
      </c>
      <c r="D560">
        <f>_xlfn.XLOOKUP(C560, 'Control Panel'!$B$4:$B$8,'Control Panel'!$C$4:$C$8,"0")</f>
        <v>1.3</v>
      </c>
      <c r="E560">
        <f>_xlfn.XLOOKUP(B560, 'Control Panel'!$B$11:$B$17,'Control Panel'!$C$11:$C$17,"0")</f>
        <v>1.1000000000000001</v>
      </c>
      <c r="G560" s="9" t="str">
        <f>_xlfn.XLOOKUP(F560, 'Control Panel'!$B$20:$B$26,'Control Panel'!$C$20:$C$26,"0")</f>
        <v>0</v>
      </c>
      <c r="H560">
        <v>0</v>
      </c>
      <c r="I560">
        <f t="shared" si="8"/>
        <v>1.4300000000000002</v>
      </c>
      <c r="J560">
        <f>MAX(300,SUM('Control Panel'!$B$1*I560))</f>
        <v>429.00000000000006</v>
      </c>
    </row>
    <row r="561" spans="1:10" x14ac:dyDescent="0.25">
      <c r="A561" s="5">
        <v>46564</v>
      </c>
      <c r="B561" s="7" t="s">
        <v>9</v>
      </c>
      <c r="C561" s="9" t="s">
        <v>16</v>
      </c>
      <c r="D561">
        <f>_xlfn.XLOOKUP(C561, 'Control Panel'!$B$4:$B$8,'Control Panel'!$C$4:$C$8,"0")</f>
        <v>1.3</v>
      </c>
      <c r="E561">
        <f>_xlfn.XLOOKUP(B561, 'Control Panel'!$B$11:$B$17,'Control Panel'!$C$11:$C$17,"0")</f>
        <v>1.25</v>
      </c>
      <c r="G561" s="9" t="str">
        <f>_xlfn.XLOOKUP(F561, 'Control Panel'!$B$20:$B$26,'Control Panel'!$C$20:$C$26,"0")</f>
        <v>0</v>
      </c>
      <c r="H561">
        <v>0</v>
      </c>
      <c r="I561">
        <f t="shared" si="8"/>
        <v>1.625</v>
      </c>
      <c r="J561">
        <f>MAX(300,SUM('Control Panel'!$B$1*I561))</f>
        <v>487.5</v>
      </c>
    </row>
    <row r="562" spans="1:10" x14ac:dyDescent="0.25">
      <c r="A562" s="5">
        <v>46565</v>
      </c>
      <c r="B562" s="7" t="s">
        <v>10</v>
      </c>
      <c r="C562" s="9" t="s">
        <v>16</v>
      </c>
      <c r="D562">
        <f>_xlfn.XLOOKUP(C562, 'Control Panel'!$B$4:$B$8,'Control Panel'!$C$4:$C$8,"0")</f>
        <v>1.3</v>
      </c>
      <c r="E562">
        <f>_xlfn.XLOOKUP(B562, 'Control Panel'!$B$11:$B$17,'Control Panel'!$C$11:$C$17,"0")</f>
        <v>1.05</v>
      </c>
      <c r="G562" s="9" t="str">
        <f>_xlfn.XLOOKUP(F562, 'Control Panel'!$B$20:$B$26,'Control Panel'!$C$20:$C$26,"0")</f>
        <v>0</v>
      </c>
      <c r="H562">
        <v>0</v>
      </c>
      <c r="I562">
        <f t="shared" si="8"/>
        <v>1.3650000000000002</v>
      </c>
      <c r="J562">
        <f>MAX(300,SUM('Control Panel'!$B$1*I562))</f>
        <v>409.50000000000006</v>
      </c>
    </row>
    <row r="563" spans="1:10" x14ac:dyDescent="0.25">
      <c r="A563" s="5">
        <v>46566</v>
      </c>
      <c r="B563" s="7" t="s">
        <v>11</v>
      </c>
      <c r="C563" s="9" t="s">
        <v>16</v>
      </c>
      <c r="D563">
        <f>_xlfn.XLOOKUP(C563, 'Control Panel'!$B$4:$B$8,'Control Panel'!$C$4:$C$8,"0")</f>
        <v>1.3</v>
      </c>
      <c r="E563">
        <f>_xlfn.XLOOKUP(B563, 'Control Panel'!$B$11:$B$17,'Control Panel'!$C$11:$C$17,"0")</f>
        <v>0.95</v>
      </c>
      <c r="G563" s="9" t="str">
        <f>_xlfn.XLOOKUP(F563, 'Control Panel'!$B$20:$B$26,'Control Panel'!$C$20:$C$26,"0")</f>
        <v>0</v>
      </c>
      <c r="H563">
        <v>0</v>
      </c>
      <c r="I563">
        <f t="shared" si="8"/>
        <v>1.2349999999999999</v>
      </c>
      <c r="J563">
        <f>MAX(300,SUM('Control Panel'!$B$1*I563))</f>
        <v>370.49999999999994</v>
      </c>
    </row>
    <row r="564" spans="1:10" x14ac:dyDescent="0.25">
      <c r="A564" s="5">
        <v>46567</v>
      </c>
      <c r="B564" s="7" t="s">
        <v>12</v>
      </c>
      <c r="C564" s="9" t="s">
        <v>16</v>
      </c>
      <c r="D564">
        <f>_xlfn.XLOOKUP(C564, 'Control Panel'!$B$4:$B$8,'Control Panel'!$C$4:$C$8,"0")</f>
        <v>1.3</v>
      </c>
      <c r="E564">
        <f>_xlfn.XLOOKUP(B564, 'Control Panel'!$B$11:$B$17,'Control Panel'!$C$11:$C$17,"0")</f>
        <v>0.95</v>
      </c>
      <c r="G564" s="9" t="str">
        <f>_xlfn.XLOOKUP(F564, 'Control Panel'!$B$20:$B$26,'Control Panel'!$C$20:$C$26,"0")</f>
        <v>0</v>
      </c>
      <c r="H564">
        <v>0</v>
      </c>
      <c r="I564">
        <f t="shared" si="8"/>
        <v>1.2349999999999999</v>
      </c>
      <c r="J564">
        <f>MAX(300,SUM('Control Panel'!$B$1*I564))</f>
        <v>370.49999999999994</v>
      </c>
    </row>
    <row r="565" spans="1:10" x14ac:dyDescent="0.25">
      <c r="A565" s="5">
        <v>46568</v>
      </c>
      <c r="B565" s="7" t="s">
        <v>13</v>
      </c>
      <c r="C565" s="9" t="s">
        <v>16</v>
      </c>
      <c r="D565">
        <f>_xlfn.XLOOKUP(C565, 'Control Panel'!$B$4:$B$8,'Control Panel'!$C$4:$C$8,"0")</f>
        <v>1.3</v>
      </c>
      <c r="E565">
        <f>_xlfn.XLOOKUP(B565, 'Control Panel'!$B$11:$B$17,'Control Panel'!$C$11:$C$17,"0")</f>
        <v>0.95</v>
      </c>
      <c r="G565" s="9" t="str">
        <f>_xlfn.XLOOKUP(F565, 'Control Panel'!$B$20:$B$26,'Control Panel'!$C$20:$C$26,"0")</f>
        <v>0</v>
      </c>
      <c r="H565">
        <v>0</v>
      </c>
      <c r="I565">
        <f t="shared" si="8"/>
        <v>1.2349999999999999</v>
      </c>
      <c r="J565">
        <f>MAX(300,SUM('Control Panel'!$B$1*I565))</f>
        <v>370.49999999999994</v>
      </c>
    </row>
    <row r="566" spans="1:10" x14ac:dyDescent="0.25">
      <c r="A566" s="10" t="s">
        <v>38</v>
      </c>
      <c r="B566" s="13"/>
      <c r="C566" s="14"/>
      <c r="G566" s="9" t="str">
        <f>_xlfn.XLOOKUP(F566, 'Control Panel'!$B$20:$B$26,'Control Panel'!$C$20:$C$26,"0")</f>
        <v>0</v>
      </c>
    </row>
    <row r="567" spans="1:10" x14ac:dyDescent="0.25">
      <c r="A567" s="5">
        <v>46569</v>
      </c>
      <c r="B567" s="7" t="s">
        <v>5</v>
      </c>
      <c r="C567" s="9" t="s">
        <v>16</v>
      </c>
      <c r="D567">
        <f>_xlfn.XLOOKUP(C567, 'Control Panel'!$B$4:$B$8,'Control Panel'!$C$4:$C$8,"0")</f>
        <v>1.3</v>
      </c>
      <c r="E567">
        <f>_xlfn.XLOOKUP(B567, 'Control Panel'!$B$11:$B$17,'Control Panel'!$C$11:$C$17,"0")</f>
        <v>0.95</v>
      </c>
      <c r="F567" t="s">
        <v>18</v>
      </c>
      <c r="G567" s="9">
        <f>_xlfn.XLOOKUP(F567, 'Control Panel'!$B$20:$B$26,'Control Panel'!$C$20:$C$26,"0")</f>
        <v>0.35</v>
      </c>
      <c r="H567">
        <v>0</v>
      </c>
      <c r="I567">
        <f t="shared" si="8"/>
        <v>1.585</v>
      </c>
      <c r="J567">
        <f>MAX(300,SUM('Control Panel'!$B$1*I567))</f>
        <v>475.5</v>
      </c>
    </row>
    <row r="568" spans="1:10" x14ac:dyDescent="0.25">
      <c r="A568" s="5">
        <v>46570</v>
      </c>
      <c r="B568" s="7" t="s">
        <v>8</v>
      </c>
      <c r="C568" s="9" t="s">
        <v>16</v>
      </c>
      <c r="D568">
        <f>_xlfn.XLOOKUP(C568, 'Control Panel'!$B$4:$B$8,'Control Panel'!$C$4:$C$8,"0")</f>
        <v>1.3</v>
      </c>
      <c r="E568">
        <f>_xlfn.XLOOKUP(B568, 'Control Panel'!$B$11:$B$17,'Control Panel'!$C$11:$C$17,"0")</f>
        <v>1.1000000000000001</v>
      </c>
      <c r="G568" s="9" t="str">
        <f>_xlfn.XLOOKUP(F568, 'Control Panel'!$B$20:$B$26,'Control Panel'!$C$20:$C$26,"0")</f>
        <v>0</v>
      </c>
      <c r="H568">
        <v>0</v>
      </c>
      <c r="I568">
        <f t="shared" si="8"/>
        <v>1.4300000000000002</v>
      </c>
      <c r="J568">
        <f>MAX(300,SUM('Control Panel'!$B$1*I568))</f>
        <v>429.00000000000006</v>
      </c>
    </row>
    <row r="569" spans="1:10" x14ac:dyDescent="0.25">
      <c r="A569" s="5">
        <v>46571</v>
      </c>
      <c r="B569" s="7" t="s">
        <v>9</v>
      </c>
      <c r="C569" s="9" t="s">
        <v>16</v>
      </c>
      <c r="D569">
        <f>_xlfn.XLOOKUP(C569, 'Control Panel'!$B$4:$B$8,'Control Panel'!$C$4:$C$8,"0")</f>
        <v>1.3</v>
      </c>
      <c r="E569">
        <f>_xlfn.XLOOKUP(B569, 'Control Panel'!$B$11:$B$17,'Control Panel'!$C$11:$C$17,"0")</f>
        <v>1.25</v>
      </c>
      <c r="G569" s="9" t="str">
        <f>_xlfn.XLOOKUP(F569, 'Control Panel'!$B$20:$B$26,'Control Panel'!$C$20:$C$26,"0")</f>
        <v>0</v>
      </c>
      <c r="H569">
        <v>0</v>
      </c>
      <c r="I569">
        <f t="shared" si="8"/>
        <v>1.625</v>
      </c>
      <c r="J569">
        <f>MAX(300,SUM('Control Panel'!$B$1*I569))</f>
        <v>487.5</v>
      </c>
    </row>
    <row r="570" spans="1:10" x14ac:dyDescent="0.25">
      <c r="A570" s="5">
        <v>46572</v>
      </c>
      <c r="B570" s="7" t="s">
        <v>10</v>
      </c>
      <c r="C570" s="9" t="s">
        <v>16</v>
      </c>
      <c r="D570">
        <f>_xlfn.XLOOKUP(C570, 'Control Panel'!$B$4:$B$8,'Control Panel'!$C$4:$C$8,"0")</f>
        <v>1.3</v>
      </c>
      <c r="E570">
        <f>_xlfn.XLOOKUP(B570, 'Control Panel'!$B$11:$B$17,'Control Panel'!$C$11:$C$17,"0")</f>
        <v>1.05</v>
      </c>
      <c r="G570" s="9" t="str">
        <f>_xlfn.XLOOKUP(F570, 'Control Panel'!$B$20:$B$26,'Control Panel'!$C$20:$C$26,"0")</f>
        <v>0</v>
      </c>
      <c r="H570">
        <v>0</v>
      </c>
      <c r="I570">
        <f t="shared" si="8"/>
        <v>1.3650000000000002</v>
      </c>
      <c r="J570">
        <f>MAX(300,SUM('Control Panel'!$B$1*I570))</f>
        <v>409.50000000000006</v>
      </c>
    </row>
    <row r="571" spans="1:10" x14ac:dyDescent="0.25">
      <c r="A571" s="5">
        <v>46573</v>
      </c>
      <c r="B571" s="7" t="s">
        <v>11</v>
      </c>
      <c r="C571" s="9" t="s">
        <v>16</v>
      </c>
      <c r="D571">
        <f>_xlfn.XLOOKUP(C571, 'Control Panel'!$B$4:$B$8,'Control Panel'!$C$4:$C$8,"0")</f>
        <v>1.3</v>
      </c>
      <c r="E571">
        <f>_xlfn.XLOOKUP(B571, 'Control Panel'!$B$11:$B$17,'Control Panel'!$C$11:$C$17,"0")</f>
        <v>0.95</v>
      </c>
      <c r="G571" s="9" t="str">
        <f>_xlfn.XLOOKUP(F571, 'Control Panel'!$B$20:$B$26,'Control Panel'!$C$20:$C$26,"0")</f>
        <v>0</v>
      </c>
      <c r="H571">
        <v>0</v>
      </c>
      <c r="I571">
        <f t="shared" si="8"/>
        <v>1.2349999999999999</v>
      </c>
      <c r="J571">
        <f>MAX(300,SUM('Control Panel'!$B$1*I571))</f>
        <v>370.49999999999994</v>
      </c>
    </row>
    <row r="572" spans="1:10" x14ac:dyDescent="0.25">
      <c r="A572" s="5">
        <v>46574</v>
      </c>
      <c r="B572" s="7" t="s">
        <v>12</v>
      </c>
      <c r="C572" s="9" t="s">
        <v>16</v>
      </c>
      <c r="D572">
        <f>_xlfn.XLOOKUP(C572, 'Control Panel'!$B$4:$B$8,'Control Panel'!$C$4:$C$8,"0")</f>
        <v>1.3</v>
      </c>
      <c r="E572">
        <f>_xlfn.XLOOKUP(B572, 'Control Panel'!$B$11:$B$17,'Control Panel'!$C$11:$C$17,"0")</f>
        <v>0.95</v>
      </c>
      <c r="G572" s="9" t="str">
        <f>_xlfn.XLOOKUP(F572, 'Control Panel'!$B$20:$B$26,'Control Panel'!$C$20:$C$26,"0")</f>
        <v>0</v>
      </c>
      <c r="H572">
        <v>0</v>
      </c>
      <c r="I572">
        <f t="shared" si="8"/>
        <v>1.2349999999999999</v>
      </c>
      <c r="J572">
        <f>MAX(300,SUM('Control Panel'!$B$1*I572))</f>
        <v>370.49999999999994</v>
      </c>
    </row>
    <row r="573" spans="1:10" x14ac:dyDescent="0.25">
      <c r="A573" s="5">
        <v>46575</v>
      </c>
      <c r="B573" s="7" t="s">
        <v>13</v>
      </c>
      <c r="C573" s="9" t="s">
        <v>16</v>
      </c>
      <c r="D573">
        <f>_xlfn.XLOOKUP(C573, 'Control Panel'!$B$4:$B$8,'Control Panel'!$C$4:$C$8,"0")</f>
        <v>1.3</v>
      </c>
      <c r="E573">
        <f>_xlfn.XLOOKUP(B573, 'Control Panel'!$B$11:$B$17,'Control Panel'!$C$11:$C$17,"0")</f>
        <v>0.95</v>
      </c>
      <c r="G573" s="9" t="str">
        <f>_xlfn.XLOOKUP(F573, 'Control Panel'!$B$20:$B$26,'Control Panel'!$C$20:$C$26,"0")</f>
        <v>0</v>
      </c>
      <c r="H573">
        <v>0</v>
      </c>
      <c r="I573">
        <f t="shared" si="8"/>
        <v>1.2349999999999999</v>
      </c>
      <c r="J573">
        <f>MAX(300,SUM('Control Panel'!$B$1*I573))</f>
        <v>370.49999999999994</v>
      </c>
    </row>
    <row r="574" spans="1:10" x14ac:dyDescent="0.25">
      <c r="A574" s="5">
        <v>46576</v>
      </c>
      <c r="B574" s="7" t="s">
        <v>5</v>
      </c>
      <c r="C574" s="9" t="s">
        <v>16</v>
      </c>
      <c r="D574">
        <f>_xlfn.XLOOKUP(C574, 'Control Panel'!$B$4:$B$8,'Control Panel'!$C$4:$C$8,"0")</f>
        <v>1.3</v>
      </c>
      <c r="E574">
        <f>_xlfn.XLOOKUP(B574, 'Control Panel'!$B$11:$B$17,'Control Panel'!$C$11:$C$17,"0")</f>
        <v>0.95</v>
      </c>
      <c r="G574" s="9" t="str">
        <f>_xlfn.XLOOKUP(F574, 'Control Panel'!$B$20:$B$26,'Control Panel'!$C$20:$C$26,"0")</f>
        <v>0</v>
      </c>
      <c r="H574">
        <v>0</v>
      </c>
      <c r="I574">
        <f t="shared" si="8"/>
        <v>1.2349999999999999</v>
      </c>
      <c r="J574">
        <f>MAX(300,SUM('Control Panel'!$B$1*I574))</f>
        <v>370.49999999999994</v>
      </c>
    </row>
    <row r="575" spans="1:10" x14ac:dyDescent="0.25">
      <c r="A575" s="5">
        <v>46577</v>
      </c>
      <c r="B575" s="7" t="s">
        <v>8</v>
      </c>
      <c r="C575" s="9" t="s">
        <v>16</v>
      </c>
      <c r="D575">
        <f>_xlfn.XLOOKUP(C575, 'Control Panel'!$B$4:$B$8,'Control Panel'!$C$4:$C$8,"0")</f>
        <v>1.3</v>
      </c>
      <c r="E575">
        <f>_xlfn.XLOOKUP(B575, 'Control Panel'!$B$11:$B$17,'Control Panel'!$C$11:$C$17,"0")</f>
        <v>1.1000000000000001</v>
      </c>
      <c r="G575" s="9" t="str">
        <f>_xlfn.XLOOKUP(F575, 'Control Panel'!$B$20:$B$26,'Control Panel'!$C$20:$C$26,"0")</f>
        <v>0</v>
      </c>
      <c r="H575">
        <v>0</v>
      </c>
      <c r="I575">
        <f t="shared" si="8"/>
        <v>1.4300000000000002</v>
      </c>
      <c r="J575">
        <f>MAX(300,SUM('Control Panel'!$B$1*I575))</f>
        <v>429.00000000000006</v>
      </c>
    </row>
    <row r="576" spans="1:10" x14ac:dyDescent="0.25">
      <c r="A576" s="5">
        <v>46578</v>
      </c>
      <c r="B576" s="7" t="s">
        <v>9</v>
      </c>
      <c r="C576" s="9" t="s">
        <v>16</v>
      </c>
      <c r="D576">
        <f>_xlfn.XLOOKUP(C576, 'Control Panel'!$B$4:$B$8,'Control Panel'!$C$4:$C$8,"0")</f>
        <v>1.3</v>
      </c>
      <c r="E576">
        <f>_xlfn.XLOOKUP(B576, 'Control Panel'!$B$11:$B$17,'Control Panel'!$C$11:$C$17,"0")</f>
        <v>1.25</v>
      </c>
      <c r="G576" s="9" t="str">
        <f>_xlfn.XLOOKUP(F576, 'Control Panel'!$B$20:$B$26,'Control Panel'!$C$20:$C$26,"0")</f>
        <v>0</v>
      </c>
      <c r="H576">
        <v>0</v>
      </c>
      <c r="I576">
        <f t="shared" si="8"/>
        <v>1.625</v>
      </c>
      <c r="J576">
        <f>MAX(300,SUM('Control Panel'!$B$1*I576))</f>
        <v>487.5</v>
      </c>
    </row>
    <row r="577" spans="1:10" x14ac:dyDescent="0.25">
      <c r="A577" s="5">
        <v>46579</v>
      </c>
      <c r="B577" s="7" t="s">
        <v>10</v>
      </c>
      <c r="C577" s="9" t="s">
        <v>16</v>
      </c>
      <c r="D577">
        <f>_xlfn.XLOOKUP(C577, 'Control Panel'!$B$4:$B$8,'Control Panel'!$C$4:$C$8,"0")</f>
        <v>1.3</v>
      </c>
      <c r="E577">
        <f>_xlfn.XLOOKUP(B577, 'Control Panel'!$B$11:$B$17,'Control Panel'!$C$11:$C$17,"0")</f>
        <v>1.05</v>
      </c>
      <c r="G577" s="9" t="str">
        <f>_xlfn.XLOOKUP(F577, 'Control Panel'!$B$20:$B$26,'Control Panel'!$C$20:$C$26,"0")</f>
        <v>0</v>
      </c>
      <c r="H577">
        <v>0</v>
      </c>
      <c r="I577">
        <f t="shared" si="8"/>
        <v>1.3650000000000002</v>
      </c>
      <c r="J577">
        <f>MAX(300,SUM('Control Panel'!$B$1*I577))</f>
        <v>409.50000000000006</v>
      </c>
    </row>
    <row r="578" spans="1:10" x14ac:dyDescent="0.25">
      <c r="A578" s="5">
        <v>46580</v>
      </c>
      <c r="B578" s="7" t="s">
        <v>11</v>
      </c>
      <c r="C578" s="9" t="s">
        <v>16</v>
      </c>
      <c r="D578">
        <f>_xlfn.XLOOKUP(C578, 'Control Panel'!$B$4:$B$8,'Control Panel'!$C$4:$C$8,"0")</f>
        <v>1.3</v>
      </c>
      <c r="E578">
        <f>_xlfn.XLOOKUP(B578, 'Control Panel'!$B$11:$B$17,'Control Panel'!$C$11:$C$17,"0")</f>
        <v>0.95</v>
      </c>
      <c r="G578" s="9" t="str">
        <f>_xlfn.XLOOKUP(F578, 'Control Panel'!$B$20:$B$26,'Control Panel'!$C$20:$C$26,"0")</f>
        <v>0</v>
      </c>
      <c r="H578">
        <v>0</v>
      </c>
      <c r="I578">
        <f t="shared" si="8"/>
        <v>1.2349999999999999</v>
      </c>
      <c r="J578">
        <f>MAX(300,SUM('Control Panel'!$B$1*I578))</f>
        <v>370.49999999999994</v>
      </c>
    </row>
    <row r="579" spans="1:10" x14ac:dyDescent="0.25">
      <c r="A579" s="5">
        <v>46581</v>
      </c>
      <c r="B579" s="7" t="s">
        <v>12</v>
      </c>
      <c r="C579" s="9" t="s">
        <v>16</v>
      </c>
      <c r="D579">
        <f>_xlfn.XLOOKUP(C579, 'Control Panel'!$B$4:$B$8,'Control Panel'!$C$4:$C$8,"0")</f>
        <v>1.3</v>
      </c>
      <c r="E579">
        <f>_xlfn.XLOOKUP(B579, 'Control Panel'!$B$11:$B$17,'Control Panel'!$C$11:$C$17,"0")</f>
        <v>0.95</v>
      </c>
      <c r="G579" s="9" t="str">
        <f>_xlfn.XLOOKUP(F579, 'Control Panel'!$B$20:$B$26,'Control Panel'!$C$20:$C$26,"0")</f>
        <v>0</v>
      </c>
      <c r="H579">
        <v>0</v>
      </c>
      <c r="I579">
        <f t="shared" si="8"/>
        <v>1.2349999999999999</v>
      </c>
      <c r="J579">
        <f>MAX(300,SUM('Control Panel'!$B$1*I579))</f>
        <v>370.49999999999994</v>
      </c>
    </row>
    <row r="580" spans="1:10" x14ac:dyDescent="0.25">
      <c r="A580" s="5">
        <v>46582</v>
      </c>
      <c r="B580" s="7" t="s">
        <v>13</v>
      </c>
      <c r="C580" s="9" t="s">
        <v>16</v>
      </c>
      <c r="D580">
        <f>_xlfn.XLOOKUP(C580, 'Control Panel'!$B$4:$B$8,'Control Panel'!$C$4:$C$8,"0")</f>
        <v>1.3</v>
      </c>
      <c r="E580">
        <f>_xlfn.XLOOKUP(B580, 'Control Panel'!$B$11:$B$17,'Control Panel'!$C$11:$C$17,"0")</f>
        <v>0.95</v>
      </c>
      <c r="G580" s="9" t="str">
        <f>_xlfn.XLOOKUP(F580, 'Control Panel'!$B$20:$B$26,'Control Panel'!$C$20:$C$26,"0")</f>
        <v>0</v>
      </c>
      <c r="H580">
        <v>0</v>
      </c>
      <c r="I580">
        <f t="shared" si="8"/>
        <v>1.2349999999999999</v>
      </c>
      <c r="J580">
        <f>MAX(300,SUM('Control Panel'!$B$1*I580))</f>
        <v>370.49999999999994</v>
      </c>
    </row>
    <row r="581" spans="1:10" x14ac:dyDescent="0.25">
      <c r="A581" s="5">
        <v>46583</v>
      </c>
      <c r="B581" s="7" t="s">
        <v>5</v>
      </c>
      <c r="C581" s="9" t="s">
        <v>16</v>
      </c>
      <c r="D581">
        <f>_xlfn.XLOOKUP(C581, 'Control Panel'!$B$4:$B$8,'Control Panel'!$C$4:$C$8,"0")</f>
        <v>1.3</v>
      </c>
      <c r="E581">
        <f>_xlfn.XLOOKUP(B581, 'Control Panel'!$B$11:$B$17,'Control Panel'!$C$11:$C$17,"0")</f>
        <v>0.95</v>
      </c>
      <c r="G581" s="9" t="str">
        <f>_xlfn.XLOOKUP(F581, 'Control Panel'!$B$20:$B$26,'Control Panel'!$C$20:$C$26,"0")</f>
        <v>0</v>
      </c>
      <c r="H581">
        <v>0</v>
      </c>
      <c r="I581">
        <f t="shared" si="8"/>
        <v>1.2349999999999999</v>
      </c>
      <c r="J581">
        <f>MAX(300,SUM('Control Panel'!$B$1*I581))</f>
        <v>370.49999999999994</v>
      </c>
    </row>
    <row r="582" spans="1:10" x14ac:dyDescent="0.25">
      <c r="A582" s="5">
        <v>46584</v>
      </c>
      <c r="B582" s="7" t="s">
        <v>8</v>
      </c>
      <c r="C582" s="9" t="s">
        <v>16</v>
      </c>
      <c r="D582">
        <f>_xlfn.XLOOKUP(C582, 'Control Panel'!$B$4:$B$8,'Control Panel'!$C$4:$C$8,"0")</f>
        <v>1.3</v>
      </c>
      <c r="E582">
        <f>_xlfn.XLOOKUP(B582, 'Control Panel'!$B$11:$B$17,'Control Panel'!$C$11:$C$17,"0")</f>
        <v>1.1000000000000001</v>
      </c>
      <c r="G582" s="9" t="str">
        <f>_xlfn.XLOOKUP(F582, 'Control Panel'!$B$20:$B$26,'Control Panel'!$C$20:$C$26,"0")</f>
        <v>0</v>
      </c>
      <c r="H582">
        <v>0</v>
      </c>
      <c r="I582">
        <f t="shared" si="8"/>
        <v>1.4300000000000002</v>
      </c>
      <c r="J582">
        <f>MAX(300,SUM('Control Panel'!$B$1*I582))</f>
        <v>429.00000000000006</v>
      </c>
    </row>
    <row r="583" spans="1:10" x14ac:dyDescent="0.25">
      <c r="A583" s="5">
        <v>46585</v>
      </c>
      <c r="B583" s="7" t="s">
        <v>9</v>
      </c>
      <c r="C583" s="9" t="s">
        <v>16</v>
      </c>
      <c r="D583">
        <f>_xlfn.XLOOKUP(C583, 'Control Panel'!$B$4:$B$8,'Control Panel'!$C$4:$C$8,"0")</f>
        <v>1.3</v>
      </c>
      <c r="E583">
        <f>_xlfn.XLOOKUP(B583, 'Control Panel'!$B$11:$B$17,'Control Panel'!$C$11:$C$17,"0")</f>
        <v>1.25</v>
      </c>
      <c r="G583" s="9" t="str">
        <f>_xlfn.XLOOKUP(F583, 'Control Panel'!$B$20:$B$26,'Control Panel'!$C$20:$C$26,"0")</f>
        <v>0</v>
      </c>
      <c r="H583">
        <v>0</v>
      </c>
      <c r="I583">
        <f t="shared" si="8"/>
        <v>1.625</v>
      </c>
      <c r="J583">
        <f>MAX(300,SUM('Control Panel'!$B$1*I583))</f>
        <v>487.5</v>
      </c>
    </row>
    <row r="584" spans="1:10" x14ac:dyDescent="0.25">
      <c r="A584" s="5">
        <v>46586</v>
      </c>
      <c r="B584" s="7" t="s">
        <v>10</v>
      </c>
      <c r="C584" s="9" t="s">
        <v>16</v>
      </c>
      <c r="D584">
        <f>_xlfn.XLOOKUP(C584, 'Control Panel'!$B$4:$B$8,'Control Panel'!$C$4:$C$8,"0")</f>
        <v>1.3</v>
      </c>
      <c r="E584">
        <f>_xlfn.XLOOKUP(B584, 'Control Panel'!$B$11:$B$17,'Control Panel'!$C$11:$C$17,"0")</f>
        <v>1.05</v>
      </c>
      <c r="G584" s="9" t="str">
        <f>_xlfn.XLOOKUP(F584, 'Control Panel'!$B$20:$B$26,'Control Panel'!$C$20:$C$26,"0")</f>
        <v>0</v>
      </c>
      <c r="H584">
        <v>0</v>
      </c>
      <c r="I584">
        <f t="shared" si="8"/>
        <v>1.3650000000000002</v>
      </c>
      <c r="J584">
        <f>MAX(300,SUM('Control Panel'!$B$1*I584))</f>
        <v>409.50000000000006</v>
      </c>
    </row>
    <row r="585" spans="1:10" x14ac:dyDescent="0.25">
      <c r="A585" s="5">
        <v>46587</v>
      </c>
      <c r="B585" s="7" t="s">
        <v>11</v>
      </c>
      <c r="C585" s="9" t="s">
        <v>16</v>
      </c>
      <c r="D585">
        <f>_xlfn.XLOOKUP(C585, 'Control Panel'!$B$4:$B$8,'Control Panel'!$C$4:$C$8,"0")</f>
        <v>1.3</v>
      </c>
      <c r="E585">
        <f>_xlfn.XLOOKUP(B585, 'Control Panel'!$B$11:$B$17,'Control Panel'!$C$11:$C$17,"0")</f>
        <v>0.95</v>
      </c>
      <c r="G585" s="9" t="str">
        <f>_xlfn.XLOOKUP(F585, 'Control Panel'!$B$20:$B$26,'Control Panel'!$C$20:$C$26,"0")</f>
        <v>0</v>
      </c>
      <c r="H585">
        <v>0</v>
      </c>
      <c r="I585">
        <f t="shared" si="8"/>
        <v>1.2349999999999999</v>
      </c>
      <c r="J585">
        <f>MAX(300,SUM('Control Panel'!$B$1*I585))</f>
        <v>370.49999999999994</v>
      </c>
    </row>
    <row r="586" spans="1:10" x14ac:dyDescent="0.25">
      <c r="A586" s="5">
        <v>46588</v>
      </c>
      <c r="B586" s="7" t="s">
        <v>12</v>
      </c>
      <c r="C586" s="9" t="s">
        <v>16</v>
      </c>
      <c r="D586">
        <f>_xlfn.XLOOKUP(C586, 'Control Panel'!$B$4:$B$8,'Control Panel'!$C$4:$C$8,"0")</f>
        <v>1.3</v>
      </c>
      <c r="E586">
        <f>_xlfn.XLOOKUP(B586, 'Control Panel'!$B$11:$B$17,'Control Panel'!$C$11:$C$17,"0")</f>
        <v>0.95</v>
      </c>
      <c r="F586" t="s">
        <v>19</v>
      </c>
      <c r="G586" s="9">
        <f>_xlfn.XLOOKUP(F586, 'Control Panel'!$B$20:$B$26,'Control Panel'!$C$20:$C$26,"0")</f>
        <v>0.45</v>
      </c>
      <c r="H586">
        <v>0</v>
      </c>
      <c r="I586">
        <f t="shared" si="8"/>
        <v>1.6849999999999998</v>
      </c>
      <c r="J586">
        <f>MAX(300,SUM('Control Panel'!$B$1*I586))</f>
        <v>505.49999999999994</v>
      </c>
    </row>
    <row r="587" spans="1:10" x14ac:dyDescent="0.25">
      <c r="A587" s="5">
        <v>46589</v>
      </c>
      <c r="B587" s="7" t="s">
        <v>13</v>
      </c>
      <c r="C587" s="9" t="s">
        <v>16</v>
      </c>
      <c r="D587">
        <f>_xlfn.XLOOKUP(C587, 'Control Panel'!$B$4:$B$8,'Control Panel'!$C$4:$C$8,"0")</f>
        <v>1.3</v>
      </c>
      <c r="E587">
        <f>_xlfn.XLOOKUP(B587, 'Control Panel'!$B$11:$B$17,'Control Panel'!$C$11:$C$17,"0")</f>
        <v>0.95</v>
      </c>
      <c r="F587" t="s">
        <v>19</v>
      </c>
      <c r="G587" s="9">
        <f>_xlfn.XLOOKUP(F587, 'Control Panel'!$B$20:$B$26,'Control Panel'!$C$20:$C$26,"0")</f>
        <v>0.45</v>
      </c>
      <c r="H587">
        <v>0</v>
      </c>
      <c r="I587">
        <f t="shared" si="8"/>
        <v>1.6849999999999998</v>
      </c>
      <c r="J587">
        <f>MAX(300,SUM('Control Panel'!$B$1*I587))</f>
        <v>505.49999999999994</v>
      </c>
    </row>
    <row r="588" spans="1:10" x14ac:dyDescent="0.25">
      <c r="A588" s="5">
        <v>46590</v>
      </c>
      <c r="B588" s="7" t="s">
        <v>5</v>
      </c>
      <c r="C588" s="9" t="s">
        <v>16</v>
      </c>
      <c r="D588">
        <f>_xlfn.XLOOKUP(C588, 'Control Panel'!$B$4:$B$8,'Control Panel'!$C$4:$C$8,"0")</f>
        <v>1.3</v>
      </c>
      <c r="E588">
        <f>_xlfn.XLOOKUP(B588, 'Control Panel'!$B$11:$B$17,'Control Panel'!$C$11:$C$17,"0")</f>
        <v>0.95</v>
      </c>
      <c r="F588" t="s">
        <v>19</v>
      </c>
      <c r="G588" s="9">
        <f>_xlfn.XLOOKUP(F588, 'Control Panel'!$B$20:$B$26,'Control Panel'!$C$20:$C$26,"0")</f>
        <v>0.45</v>
      </c>
      <c r="H588">
        <v>0</v>
      </c>
      <c r="I588">
        <f t="shared" si="8"/>
        <v>1.6849999999999998</v>
      </c>
      <c r="J588">
        <f>MAX(300,SUM('Control Panel'!$B$1*I588))</f>
        <v>505.49999999999994</v>
      </c>
    </row>
    <row r="589" spans="1:10" x14ac:dyDescent="0.25">
      <c r="A589" s="5">
        <v>46591</v>
      </c>
      <c r="B589" s="7" t="s">
        <v>8</v>
      </c>
      <c r="C589" s="9" t="s">
        <v>16</v>
      </c>
      <c r="D589">
        <f>_xlfn.XLOOKUP(C589, 'Control Panel'!$B$4:$B$8,'Control Panel'!$C$4:$C$8,"0")</f>
        <v>1.3</v>
      </c>
      <c r="E589">
        <f>_xlfn.XLOOKUP(B589, 'Control Panel'!$B$11:$B$17,'Control Panel'!$C$11:$C$17,"0")</f>
        <v>1.1000000000000001</v>
      </c>
      <c r="F589" t="s">
        <v>19</v>
      </c>
      <c r="G589" s="9">
        <f>_xlfn.XLOOKUP(F589, 'Control Panel'!$B$20:$B$26,'Control Panel'!$C$20:$C$26,"0")</f>
        <v>0.45</v>
      </c>
      <c r="H589">
        <v>0</v>
      </c>
      <c r="I589">
        <f t="shared" si="8"/>
        <v>1.8800000000000001</v>
      </c>
      <c r="J589">
        <f>MAX(300,SUM('Control Panel'!$B$1*I589))</f>
        <v>564</v>
      </c>
    </row>
    <row r="590" spans="1:10" x14ac:dyDescent="0.25">
      <c r="A590" s="5">
        <v>46592</v>
      </c>
      <c r="B590" s="7" t="s">
        <v>9</v>
      </c>
      <c r="C590" s="9" t="s">
        <v>16</v>
      </c>
      <c r="D590">
        <f>_xlfn.XLOOKUP(C590, 'Control Panel'!$B$4:$B$8,'Control Panel'!$C$4:$C$8,"0")</f>
        <v>1.3</v>
      </c>
      <c r="E590">
        <f>_xlfn.XLOOKUP(B590, 'Control Panel'!$B$11:$B$17,'Control Panel'!$C$11:$C$17,"0")</f>
        <v>1.25</v>
      </c>
      <c r="F590" t="s">
        <v>19</v>
      </c>
      <c r="G590" s="9">
        <f>_xlfn.XLOOKUP(F590, 'Control Panel'!$B$20:$B$26,'Control Panel'!$C$20:$C$26,"0")</f>
        <v>0.45</v>
      </c>
      <c r="H590">
        <v>0</v>
      </c>
      <c r="I590">
        <f t="shared" si="8"/>
        <v>2.0750000000000002</v>
      </c>
      <c r="J590">
        <f>MAX(300,SUM('Control Panel'!$B$1*I590))</f>
        <v>622.5</v>
      </c>
    </row>
    <row r="591" spans="1:10" x14ac:dyDescent="0.25">
      <c r="A591" s="5">
        <v>46593</v>
      </c>
      <c r="B591" s="7" t="s">
        <v>10</v>
      </c>
      <c r="C591" s="9" t="s">
        <v>16</v>
      </c>
      <c r="D591">
        <f>_xlfn.XLOOKUP(C591, 'Control Panel'!$B$4:$B$8,'Control Panel'!$C$4:$C$8,"0")</f>
        <v>1.3</v>
      </c>
      <c r="E591">
        <f>_xlfn.XLOOKUP(B591, 'Control Panel'!$B$11:$B$17,'Control Panel'!$C$11:$C$17,"0")</f>
        <v>1.05</v>
      </c>
      <c r="F591" t="s">
        <v>19</v>
      </c>
      <c r="G591" s="9">
        <f>_xlfn.XLOOKUP(F591, 'Control Panel'!$B$20:$B$26,'Control Panel'!$C$20:$C$26,"0")</f>
        <v>0.45</v>
      </c>
      <c r="H591">
        <v>0</v>
      </c>
      <c r="I591">
        <f t="shared" si="8"/>
        <v>1.8150000000000002</v>
      </c>
      <c r="J591">
        <f>MAX(300,SUM('Control Panel'!$B$1*I591))</f>
        <v>544.5</v>
      </c>
    </row>
    <row r="592" spans="1:10" x14ac:dyDescent="0.25">
      <c r="A592" s="5">
        <v>46594</v>
      </c>
      <c r="B592" s="7" t="s">
        <v>11</v>
      </c>
      <c r="C592" s="9" t="s">
        <v>16</v>
      </c>
      <c r="D592">
        <f>_xlfn.XLOOKUP(C592, 'Control Panel'!$B$4:$B$8,'Control Panel'!$C$4:$C$8,"0")</f>
        <v>1.3</v>
      </c>
      <c r="E592">
        <f>_xlfn.XLOOKUP(B592, 'Control Panel'!$B$11:$B$17,'Control Panel'!$C$11:$C$17,"0")</f>
        <v>0.95</v>
      </c>
      <c r="F592" t="s">
        <v>19</v>
      </c>
      <c r="G592" s="9">
        <f>_xlfn.XLOOKUP(F592, 'Control Panel'!$B$20:$B$26,'Control Panel'!$C$20:$C$26,"0")</f>
        <v>0.45</v>
      </c>
      <c r="H592">
        <v>0</v>
      </c>
      <c r="I592">
        <f t="shared" si="8"/>
        <v>1.6849999999999998</v>
      </c>
      <c r="J592">
        <f>MAX(300,SUM('Control Panel'!$B$1*I592))</f>
        <v>505.49999999999994</v>
      </c>
    </row>
    <row r="593" spans="1:10" x14ac:dyDescent="0.25">
      <c r="A593" s="5">
        <v>46595</v>
      </c>
      <c r="B593" s="7" t="s">
        <v>12</v>
      </c>
      <c r="C593" s="9" t="s">
        <v>16</v>
      </c>
      <c r="D593">
        <f>_xlfn.XLOOKUP(C593, 'Control Panel'!$B$4:$B$8,'Control Panel'!$C$4:$C$8,"0")</f>
        <v>1.3</v>
      </c>
      <c r="E593">
        <f>_xlfn.XLOOKUP(B593, 'Control Panel'!$B$11:$B$17,'Control Panel'!$C$11:$C$17,"0")</f>
        <v>0.95</v>
      </c>
      <c r="F593" t="s">
        <v>19</v>
      </c>
      <c r="G593" s="9">
        <f>_xlfn.XLOOKUP(F593, 'Control Panel'!$B$20:$B$26,'Control Panel'!$C$20:$C$26,"0")</f>
        <v>0.45</v>
      </c>
      <c r="H593">
        <v>0</v>
      </c>
      <c r="I593">
        <f t="shared" si="8"/>
        <v>1.6849999999999998</v>
      </c>
      <c r="J593">
        <f>MAX(300,SUM('Control Panel'!$B$1*I593))</f>
        <v>505.49999999999994</v>
      </c>
    </row>
    <row r="594" spans="1:10" x14ac:dyDescent="0.25">
      <c r="A594" s="5">
        <v>46596</v>
      </c>
      <c r="B594" s="7" t="s">
        <v>13</v>
      </c>
      <c r="C594" s="9" t="s">
        <v>16</v>
      </c>
      <c r="D594">
        <f>_xlfn.XLOOKUP(C594, 'Control Panel'!$B$4:$B$8,'Control Panel'!$C$4:$C$8,"0")</f>
        <v>1.3</v>
      </c>
      <c r="E594">
        <f>_xlfn.XLOOKUP(B594, 'Control Panel'!$B$11:$B$17,'Control Panel'!$C$11:$C$17,"0")</f>
        <v>0.95</v>
      </c>
      <c r="F594" t="s">
        <v>19</v>
      </c>
      <c r="G594" s="9">
        <f>_xlfn.XLOOKUP(F594, 'Control Panel'!$B$20:$B$26,'Control Panel'!$C$20:$C$26,"0")</f>
        <v>0.45</v>
      </c>
      <c r="H594">
        <v>0</v>
      </c>
      <c r="I594">
        <f t="shared" si="8"/>
        <v>1.6849999999999998</v>
      </c>
      <c r="J594">
        <f>MAX(300,SUM('Control Panel'!$B$1*I594))</f>
        <v>505.49999999999994</v>
      </c>
    </row>
    <row r="595" spans="1:10" x14ac:dyDescent="0.25">
      <c r="A595" s="5">
        <v>46597</v>
      </c>
      <c r="B595" s="7" t="s">
        <v>5</v>
      </c>
      <c r="C595" s="9" t="s">
        <v>16</v>
      </c>
      <c r="D595">
        <f>_xlfn.XLOOKUP(C595, 'Control Panel'!$B$4:$B$8,'Control Panel'!$C$4:$C$8,"0")</f>
        <v>1.3</v>
      </c>
      <c r="E595">
        <f>_xlfn.XLOOKUP(B595, 'Control Panel'!$B$11:$B$17,'Control Panel'!$C$11:$C$17,"0")</f>
        <v>0.95</v>
      </c>
      <c r="F595" t="s">
        <v>19</v>
      </c>
      <c r="G595" s="9">
        <f>_xlfn.XLOOKUP(F595, 'Control Panel'!$B$20:$B$26,'Control Panel'!$C$20:$C$26,"0")</f>
        <v>0.45</v>
      </c>
      <c r="H595">
        <v>0</v>
      </c>
      <c r="I595">
        <f t="shared" si="8"/>
        <v>1.6849999999999998</v>
      </c>
      <c r="J595">
        <f>MAX(300,SUM('Control Panel'!$B$1*I595))</f>
        <v>505.49999999999994</v>
      </c>
    </row>
    <row r="596" spans="1:10" x14ac:dyDescent="0.25">
      <c r="A596" s="5">
        <v>46598</v>
      </c>
      <c r="B596" s="7" t="s">
        <v>8</v>
      </c>
      <c r="C596" s="9" t="s">
        <v>16</v>
      </c>
      <c r="D596">
        <f>_xlfn.XLOOKUP(C596, 'Control Panel'!$B$4:$B$8,'Control Panel'!$C$4:$C$8,"0")</f>
        <v>1.3</v>
      </c>
      <c r="E596">
        <f>_xlfn.XLOOKUP(B596, 'Control Panel'!$B$11:$B$17,'Control Panel'!$C$11:$C$17,"0")</f>
        <v>1.1000000000000001</v>
      </c>
      <c r="F596" t="s">
        <v>19</v>
      </c>
      <c r="G596" s="9">
        <f>_xlfn.XLOOKUP(F596, 'Control Panel'!$B$20:$B$26,'Control Panel'!$C$20:$C$26,"0")</f>
        <v>0.45</v>
      </c>
      <c r="H596">
        <v>0</v>
      </c>
      <c r="I596">
        <f t="shared" si="8"/>
        <v>1.8800000000000001</v>
      </c>
      <c r="J596">
        <f>MAX(300,SUM('Control Panel'!$B$1*I596))</f>
        <v>564</v>
      </c>
    </row>
    <row r="597" spans="1:10" x14ac:dyDescent="0.25">
      <c r="A597" s="5">
        <v>46599</v>
      </c>
      <c r="B597" s="7" t="s">
        <v>9</v>
      </c>
      <c r="C597" s="9" t="s">
        <v>16</v>
      </c>
      <c r="D597">
        <f>_xlfn.XLOOKUP(C597, 'Control Panel'!$B$4:$B$8,'Control Panel'!$C$4:$C$8,"0")</f>
        <v>1.3</v>
      </c>
      <c r="E597">
        <f>_xlfn.XLOOKUP(B597, 'Control Panel'!$B$11:$B$17,'Control Panel'!$C$11:$C$17,"0")</f>
        <v>1.25</v>
      </c>
      <c r="F597" t="s">
        <v>19</v>
      </c>
      <c r="G597" s="9">
        <f>_xlfn.XLOOKUP(F597, 'Control Panel'!$B$20:$B$26,'Control Panel'!$C$20:$C$26,"0")</f>
        <v>0.45</v>
      </c>
      <c r="H597">
        <v>0</v>
      </c>
      <c r="I597">
        <f t="shared" si="8"/>
        <v>2.0750000000000002</v>
      </c>
      <c r="J597">
        <f>MAX(300,SUM('Control Panel'!$B$1*I597))</f>
        <v>622.5</v>
      </c>
    </row>
    <row r="598" spans="1:10" x14ac:dyDescent="0.25">
      <c r="A598" s="10" t="s">
        <v>39</v>
      </c>
      <c r="B598" s="13"/>
      <c r="C598" s="14"/>
      <c r="G598" s="9" t="str">
        <f>_xlfn.XLOOKUP(F598, 'Control Panel'!$B$20:$B$26,'Control Panel'!$C$20:$C$26,"0")</f>
        <v>0</v>
      </c>
    </row>
    <row r="599" spans="1:10" x14ac:dyDescent="0.25">
      <c r="A599" s="5">
        <v>46600</v>
      </c>
      <c r="B599" s="7" t="s">
        <v>10</v>
      </c>
      <c r="C599" s="9" t="s">
        <v>16</v>
      </c>
      <c r="D599">
        <f>_xlfn.XLOOKUP(C599, 'Control Panel'!$B$4:$B$8,'Control Panel'!$C$4:$C$8,"0")</f>
        <v>1.3</v>
      </c>
      <c r="E599">
        <f>_xlfn.XLOOKUP(B599, 'Control Panel'!$B$11:$B$17,'Control Panel'!$C$11:$C$17,"0")</f>
        <v>1.05</v>
      </c>
      <c r="G599" s="9" t="str">
        <f>_xlfn.XLOOKUP(F599, 'Control Panel'!$B$20:$B$26,'Control Panel'!$C$20:$C$26,"0")</f>
        <v>0</v>
      </c>
      <c r="H599">
        <v>0</v>
      </c>
      <c r="I599">
        <f t="shared" si="8"/>
        <v>1.3650000000000002</v>
      </c>
      <c r="J599">
        <f>MAX(300,SUM('Control Panel'!$B$1*I599))</f>
        <v>409.50000000000006</v>
      </c>
    </row>
    <row r="600" spans="1:10" x14ac:dyDescent="0.25">
      <c r="A600" s="5">
        <v>46601</v>
      </c>
      <c r="B600" s="7" t="s">
        <v>11</v>
      </c>
      <c r="C600" s="9" t="s">
        <v>16</v>
      </c>
      <c r="D600">
        <f>_xlfn.XLOOKUP(C600, 'Control Panel'!$B$4:$B$8,'Control Panel'!$C$4:$C$8,"0")</f>
        <v>1.3</v>
      </c>
      <c r="E600">
        <f>_xlfn.XLOOKUP(B600, 'Control Panel'!$B$11:$B$17,'Control Panel'!$C$11:$C$17,"0")</f>
        <v>0.95</v>
      </c>
      <c r="G600" s="9" t="str">
        <f>_xlfn.XLOOKUP(F600, 'Control Panel'!$B$20:$B$26,'Control Panel'!$C$20:$C$26,"0")</f>
        <v>0</v>
      </c>
      <c r="H600">
        <v>0</v>
      </c>
      <c r="I600">
        <f t="shared" ref="I600:I665" si="9">(D600*E600)+G600+H600</f>
        <v>1.2349999999999999</v>
      </c>
      <c r="J600">
        <f>MAX(300,SUM('Control Panel'!$B$1*I600))</f>
        <v>370.49999999999994</v>
      </c>
    </row>
    <row r="601" spans="1:10" x14ac:dyDescent="0.25">
      <c r="A601" s="5">
        <v>46602</v>
      </c>
      <c r="B601" s="7" t="s">
        <v>12</v>
      </c>
      <c r="C601" s="9" t="s">
        <v>16</v>
      </c>
      <c r="D601">
        <f>_xlfn.XLOOKUP(C601, 'Control Panel'!$B$4:$B$8,'Control Panel'!$C$4:$C$8,"0")</f>
        <v>1.3</v>
      </c>
      <c r="E601">
        <f>_xlfn.XLOOKUP(B601, 'Control Panel'!$B$11:$B$17,'Control Panel'!$C$11:$C$17,"0")</f>
        <v>0.95</v>
      </c>
      <c r="G601" s="9" t="str">
        <f>_xlfn.XLOOKUP(F601, 'Control Panel'!$B$20:$B$26,'Control Panel'!$C$20:$C$26,"0")</f>
        <v>0</v>
      </c>
      <c r="H601">
        <v>0</v>
      </c>
      <c r="I601">
        <f t="shared" si="9"/>
        <v>1.2349999999999999</v>
      </c>
      <c r="J601">
        <f>MAX(300,SUM('Control Panel'!$B$1*I601))</f>
        <v>370.49999999999994</v>
      </c>
    </row>
    <row r="602" spans="1:10" x14ac:dyDescent="0.25">
      <c r="A602" s="5">
        <v>46603</v>
      </c>
      <c r="B602" s="7" t="s">
        <v>13</v>
      </c>
      <c r="C602" s="9" t="s">
        <v>16</v>
      </c>
      <c r="D602">
        <f>_xlfn.XLOOKUP(C602, 'Control Panel'!$B$4:$B$8,'Control Panel'!$C$4:$C$8,"0")</f>
        <v>1.3</v>
      </c>
      <c r="E602">
        <f>_xlfn.XLOOKUP(B602, 'Control Panel'!$B$11:$B$17,'Control Panel'!$C$11:$C$17,"0")</f>
        <v>0.95</v>
      </c>
      <c r="G602" s="9" t="str">
        <f>_xlfn.XLOOKUP(F602, 'Control Panel'!$B$20:$B$26,'Control Panel'!$C$20:$C$26,"0")</f>
        <v>0</v>
      </c>
      <c r="H602">
        <v>0</v>
      </c>
      <c r="I602">
        <f t="shared" si="9"/>
        <v>1.2349999999999999</v>
      </c>
      <c r="J602">
        <f>MAX(300,SUM('Control Panel'!$B$1*I602))</f>
        <v>370.49999999999994</v>
      </c>
    </row>
    <row r="603" spans="1:10" x14ac:dyDescent="0.25">
      <c r="A603" s="5">
        <v>46604</v>
      </c>
      <c r="B603" s="7" t="s">
        <v>5</v>
      </c>
      <c r="C603" s="9" t="s">
        <v>16</v>
      </c>
      <c r="D603">
        <f>_xlfn.XLOOKUP(C603, 'Control Panel'!$B$4:$B$8,'Control Panel'!$C$4:$C$8,"0")</f>
        <v>1.3</v>
      </c>
      <c r="E603">
        <f>_xlfn.XLOOKUP(B603, 'Control Panel'!$B$11:$B$17,'Control Panel'!$C$11:$C$17,"0")</f>
        <v>0.95</v>
      </c>
      <c r="G603" s="9" t="str">
        <f>_xlfn.XLOOKUP(F603, 'Control Panel'!$B$20:$B$26,'Control Panel'!$C$20:$C$26,"0")</f>
        <v>0</v>
      </c>
      <c r="H603">
        <v>0</v>
      </c>
      <c r="I603">
        <f t="shared" si="9"/>
        <v>1.2349999999999999</v>
      </c>
      <c r="J603">
        <f>MAX(300,SUM('Control Panel'!$B$1*I603))</f>
        <v>370.49999999999994</v>
      </c>
    </row>
    <row r="604" spans="1:10" x14ac:dyDescent="0.25">
      <c r="A604" s="5">
        <v>46605</v>
      </c>
      <c r="B604" s="7" t="s">
        <v>8</v>
      </c>
      <c r="C604" s="9" t="s">
        <v>16</v>
      </c>
      <c r="D604">
        <f>_xlfn.XLOOKUP(C604, 'Control Panel'!$B$4:$B$8,'Control Panel'!$C$4:$C$8,"0")</f>
        <v>1.3</v>
      </c>
      <c r="E604">
        <f>_xlfn.XLOOKUP(B604, 'Control Panel'!$B$11:$B$17,'Control Panel'!$C$11:$C$17,"0")</f>
        <v>1.1000000000000001</v>
      </c>
      <c r="G604" s="9" t="str">
        <f>_xlfn.XLOOKUP(F604, 'Control Panel'!$B$20:$B$26,'Control Panel'!$C$20:$C$26,"0")</f>
        <v>0</v>
      </c>
      <c r="H604">
        <v>0</v>
      </c>
      <c r="I604">
        <f t="shared" si="9"/>
        <v>1.4300000000000002</v>
      </c>
      <c r="J604">
        <f>MAX(300,SUM('Control Panel'!$B$1*I604))</f>
        <v>429.00000000000006</v>
      </c>
    </row>
    <row r="605" spans="1:10" x14ac:dyDescent="0.25">
      <c r="A605" s="5">
        <v>46606</v>
      </c>
      <c r="B605" s="7" t="s">
        <v>9</v>
      </c>
      <c r="C605" s="9" t="s">
        <v>16</v>
      </c>
      <c r="D605">
        <f>_xlfn.XLOOKUP(C605, 'Control Panel'!$B$4:$B$8,'Control Panel'!$C$4:$C$8,"0")</f>
        <v>1.3</v>
      </c>
      <c r="E605">
        <f>_xlfn.XLOOKUP(B605, 'Control Panel'!$B$11:$B$17,'Control Panel'!$C$11:$C$17,"0")</f>
        <v>1.25</v>
      </c>
      <c r="G605" s="9" t="str">
        <f>_xlfn.XLOOKUP(F605, 'Control Panel'!$B$20:$B$26,'Control Panel'!$C$20:$C$26,"0")</f>
        <v>0</v>
      </c>
      <c r="H605">
        <v>0</v>
      </c>
      <c r="I605">
        <f t="shared" si="9"/>
        <v>1.625</v>
      </c>
      <c r="J605">
        <f>MAX(300,SUM('Control Panel'!$B$1*I605))</f>
        <v>487.5</v>
      </c>
    </row>
    <row r="606" spans="1:10" x14ac:dyDescent="0.25">
      <c r="A606" s="5">
        <v>46607</v>
      </c>
      <c r="B606" s="7" t="s">
        <v>10</v>
      </c>
      <c r="C606" s="9" t="s">
        <v>16</v>
      </c>
      <c r="D606">
        <f>_xlfn.XLOOKUP(C606, 'Control Panel'!$B$4:$B$8,'Control Panel'!$C$4:$C$8,"0")</f>
        <v>1.3</v>
      </c>
      <c r="E606">
        <f>_xlfn.XLOOKUP(B606, 'Control Panel'!$B$11:$B$17,'Control Panel'!$C$11:$C$17,"0")</f>
        <v>1.05</v>
      </c>
      <c r="G606" s="9" t="str">
        <f>_xlfn.XLOOKUP(F606, 'Control Panel'!$B$20:$B$26,'Control Panel'!$C$20:$C$26,"0")</f>
        <v>0</v>
      </c>
      <c r="H606">
        <v>0</v>
      </c>
      <c r="I606">
        <f t="shared" si="9"/>
        <v>1.3650000000000002</v>
      </c>
      <c r="J606">
        <f>MAX(300,SUM('Control Panel'!$B$1*I606))</f>
        <v>409.50000000000006</v>
      </c>
    </row>
    <row r="607" spans="1:10" x14ac:dyDescent="0.25">
      <c r="A607" s="5">
        <v>46608</v>
      </c>
      <c r="B607" s="7" t="s">
        <v>11</v>
      </c>
      <c r="C607" s="9" t="s">
        <v>16</v>
      </c>
      <c r="D607">
        <f>_xlfn.XLOOKUP(C607, 'Control Panel'!$B$4:$B$8,'Control Panel'!$C$4:$C$8,"0")</f>
        <v>1.3</v>
      </c>
      <c r="E607">
        <f>_xlfn.XLOOKUP(B607, 'Control Panel'!$B$11:$B$17,'Control Panel'!$C$11:$C$17,"0")</f>
        <v>0.95</v>
      </c>
      <c r="G607" s="9" t="str">
        <f>_xlfn.XLOOKUP(F607, 'Control Panel'!$B$20:$B$26,'Control Panel'!$C$20:$C$26,"0")</f>
        <v>0</v>
      </c>
      <c r="H607">
        <v>0</v>
      </c>
      <c r="I607">
        <f t="shared" si="9"/>
        <v>1.2349999999999999</v>
      </c>
      <c r="J607">
        <f>MAX(300,SUM('Control Panel'!$B$1*I607))</f>
        <v>370.49999999999994</v>
      </c>
    </row>
    <row r="608" spans="1:10" x14ac:dyDescent="0.25">
      <c r="A608" s="5">
        <v>46609</v>
      </c>
      <c r="B608" s="7" t="s">
        <v>12</v>
      </c>
      <c r="C608" s="9" t="s">
        <v>16</v>
      </c>
      <c r="D608">
        <f>_xlfn.XLOOKUP(C608, 'Control Panel'!$B$4:$B$8,'Control Panel'!$C$4:$C$8,"0")</f>
        <v>1.3</v>
      </c>
      <c r="E608">
        <f>_xlfn.XLOOKUP(B608, 'Control Panel'!$B$11:$B$17,'Control Panel'!$C$11:$C$17,"0")</f>
        <v>0.95</v>
      </c>
      <c r="G608" s="9" t="str">
        <f>_xlfn.XLOOKUP(F608, 'Control Panel'!$B$20:$B$26,'Control Panel'!$C$20:$C$26,"0")</f>
        <v>0</v>
      </c>
      <c r="H608">
        <v>0</v>
      </c>
      <c r="I608">
        <f t="shared" si="9"/>
        <v>1.2349999999999999</v>
      </c>
      <c r="J608">
        <f>MAX(300,SUM('Control Panel'!$B$1*I608))</f>
        <v>370.49999999999994</v>
      </c>
    </row>
    <row r="609" spans="1:10" x14ac:dyDescent="0.25">
      <c r="A609" s="5">
        <v>46610</v>
      </c>
      <c r="B609" s="7" t="s">
        <v>13</v>
      </c>
      <c r="C609" s="9" t="s">
        <v>16</v>
      </c>
      <c r="D609">
        <f>_xlfn.XLOOKUP(C609, 'Control Panel'!$B$4:$B$8,'Control Panel'!$C$4:$C$8,"0")</f>
        <v>1.3</v>
      </c>
      <c r="E609">
        <f>_xlfn.XLOOKUP(B609, 'Control Panel'!$B$11:$B$17,'Control Panel'!$C$11:$C$17,"0")</f>
        <v>0.95</v>
      </c>
      <c r="G609" s="9" t="str">
        <f>_xlfn.XLOOKUP(F609, 'Control Panel'!$B$20:$B$26,'Control Panel'!$C$20:$C$26,"0")</f>
        <v>0</v>
      </c>
      <c r="H609">
        <v>0</v>
      </c>
      <c r="I609">
        <f t="shared" si="9"/>
        <v>1.2349999999999999</v>
      </c>
      <c r="J609">
        <f>MAX(300,SUM('Control Panel'!$B$1*I609))</f>
        <v>370.49999999999994</v>
      </c>
    </row>
    <row r="610" spans="1:10" x14ac:dyDescent="0.25">
      <c r="A610" s="5">
        <v>46611</v>
      </c>
      <c r="B610" s="7" t="s">
        <v>5</v>
      </c>
      <c r="C610" s="9" t="s">
        <v>16</v>
      </c>
      <c r="D610">
        <f>_xlfn.XLOOKUP(C610, 'Control Panel'!$B$4:$B$8,'Control Panel'!$C$4:$C$8,"0")</f>
        <v>1.3</v>
      </c>
      <c r="E610">
        <f>_xlfn.XLOOKUP(B610, 'Control Panel'!$B$11:$B$17,'Control Panel'!$C$11:$C$17,"0")</f>
        <v>0.95</v>
      </c>
      <c r="G610" s="9" t="str">
        <f>_xlfn.XLOOKUP(F610, 'Control Panel'!$B$20:$B$26,'Control Panel'!$C$20:$C$26,"0")</f>
        <v>0</v>
      </c>
      <c r="H610">
        <v>0</v>
      </c>
      <c r="I610">
        <f t="shared" si="9"/>
        <v>1.2349999999999999</v>
      </c>
      <c r="J610">
        <f>MAX(300,SUM('Control Panel'!$B$1*I610))</f>
        <v>370.49999999999994</v>
      </c>
    </row>
    <row r="611" spans="1:10" x14ac:dyDescent="0.25">
      <c r="A611" s="5">
        <v>46612</v>
      </c>
      <c r="B611" s="7" t="s">
        <v>8</v>
      </c>
      <c r="C611" s="9" t="s">
        <v>16</v>
      </c>
      <c r="D611">
        <f>_xlfn.XLOOKUP(C611, 'Control Panel'!$B$4:$B$8,'Control Panel'!$C$4:$C$8,"0")</f>
        <v>1.3</v>
      </c>
      <c r="E611">
        <f>_xlfn.XLOOKUP(B611, 'Control Panel'!$B$11:$B$17,'Control Panel'!$C$11:$C$17,"0")</f>
        <v>1.1000000000000001</v>
      </c>
      <c r="G611" s="9" t="str">
        <f>_xlfn.XLOOKUP(F611, 'Control Panel'!$B$20:$B$26,'Control Panel'!$C$20:$C$26,"0")</f>
        <v>0</v>
      </c>
      <c r="H611">
        <v>0</v>
      </c>
      <c r="I611">
        <f t="shared" si="9"/>
        <v>1.4300000000000002</v>
      </c>
      <c r="J611">
        <f>MAX(300,SUM('Control Panel'!$B$1*I611))</f>
        <v>429.00000000000006</v>
      </c>
    </row>
    <row r="612" spans="1:10" x14ac:dyDescent="0.25">
      <c r="A612" s="5">
        <v>46613</v>
      </c>
      <c r="B612" s="7" t="s">
        <v>9</v>
      </c>
      <c r="C612" s="9" t="s">
        <v>16</v>
      </c>
      <c r="D612">
        <f>_xlfn.XLOOKUP(C612, 'Control Panel'!$B$4:$B$8,'Control Panel'!$C$4:$C$8,"0")</f>
        <v>1.3</v>
      </c>
      <c r="E612">
        <f>_xlfn.XLOOKUP(B612, 'Control Panel'!$B$11:$B$17,'Control Panel'!$C$11:$C$17,"0")</f>
        <v>1.25</v>
      </c>
      <c r="G612" s="9" t="str">
        <f>_xlfn.XLOOKUP(F612, 'Control Panel'!$B$20:$B$26,'Control Panel'!$C$20:$C$26,"0")</f>
        <v>0</v>
      </c>
      <c r="H612">
        <v>0</v>
      </c>
      <c r="I612">
        <f t="shared" si="9"/>
        <v>1.625</v>
      </c>
      <c r="J612">
        <f>MAX(300,SUM('Control Panel'!$B$1*I612))</f>
        <v>487.5</v>
      </c>
    </row>
    <row r="613" spans="1:10" x14ac:dyDescent="0.25">
      <c r="A613" s="5">
        <v>46614</v>
      </c>
      <c r="B613" s="7" t="s">
        <v>10</v>
      </c>
      <c r="C613" s="9" t="s">
        <v>16</v>
      </c>
      <c r="D613">
        <f>_xlfn.XLOOKUP(C613, 'Control Panel'!$B$4:$B$8,'Control Panel'!$C$4:$C$8,"0")</f>
        <v>1.3</v>
      </c>
      <c r="E613">
        <f>_xlfn.XLOOKUP(B613, 'Control Panel'!$B$11:$B$17,'Control Panel'!$C$11:$C$17,"0")</f>
        <v>1.05</v>
      </c>
      <c r="G613" s="9" t="str">
        <f>_xlfn.XLOOKUP(F613, 'Control Panel'!$B$20:$B$26,'Control Panel'!$C$20:$C$26,"0")</f>
        <v>0</v>
      </c>
      <c r="H613">
        <v>0</v>
      </c>
      <c r="I613">
        <f t="shared" si="9"/>
        <v>1.3650000000000002</v>
      </c>
      <c r="J613">
        <f>MAX(300,SUM('Control Panel'!$B$1*I613))</f>
        <v>409.50000000000006</v>
      </c>
    </row>
    <row r="614" spans="1:10" x14ac:dyDescent="0.25">
      <c r="A614" s="5">
        <v>46615</v>
      </c>
      <c r="B614" s="7" t="s">
        <v>11</v>
      </c>
      <c r="C614" s="9" t="s">
        <v>16</v>
      </c>
      <c r="D614">
        <f>_xlfn.XLOOKUP(C614, 'Control Panel'!$B$4:$B$8,'Control Panel'!$C$4:$C$8,"0")</f>
        <v>1.3</v>
      </c>
      <c r="E614">
        <f>_xlfn.XLOOKUP(B614, 'Control Panel'!$B$11:$B$17,'Control Panel'!$C$11:$C$17,"0")</f>
        <v>0.95</v>
      </c>
      <c r="G614" s="9" t="str">
        <f>_xlfn.XLOOKUP(F614, 'Control Panel'!$B$20:$B$26,'Control Panel'!$C$20:$C$26,"0")</f>
        <v>0</v>
      </c>
      <c r="H614">
        <v>0</v>
      </c>
      <c r="I614">
        <f t="shared" si="9"/>
        <v>1.2349999999999999</v>
      </c>
      <c r="J614">
        <f>MAX(300,SUM('Control Panel'!$B$1*I614))</f>
        <v>370.49999999999994</v>
      </c>
    </row>
    <row r="615" spans="1:10" x14ac:dyDescent="0.25">
      <c r="A615" s="5">
        <v>46616</v>
      </c>
      <c r="B615" s="7" t="s">
        <v>12</v>
      </c>
      <c r="C615" s="9" t="s">
        <v>16</v>
      </c>
      <c r="D615">
        <f>_xlfn.XLOOKUP(C615, 'Control Panel'!$B$4:$B$8,'Control Panel'!$C$4:$C$8,"0")</f>
        <v>1.3</v>
      </c>
      <c r="E615">
        <f>_xlfn.XLOOKUP(B615, 'Control Panel'!$B$11:$B$17,'Control Panel'!$C$11:$C$17,"0")</f>
        <v>0.95</v>
      </c>
      <c r="G615" s="9" t="str">
        <f>_xlfn.XLOOKUP(F615, 'Control Panel'!$B$20:$B$26,'Control Panel'!$C$20:$C$26,"0")</f>
        <v>0</v>
      </c>
      <c r="H615">
        <v>0</v>
      </c>
      <c r="I615">
        <f t="shared" si="9"/>
        <v>1.2349999999999999</v>
      </c>
      <c r="J615">
        <f>MAX(300,SUM('Control Panel'!$B$1*I615))</f>
        <v>370.49999999999994</v>
      </c>
    </row>
    <row r="616" spans="1:10" x14ac:dyDescent="0.25">
      <c r="A616" s="5">
        <v>46617</v>
      </c>
      <c r="B616" s="7" t="s">
        <v>13</v>
      </c>
      <c r="C616" s="9" t="s">
        <v>16</v>
      </c>
      <c r="D616">
        <f>_xlfn.XLOOKUP(C616, 'Control Panel'!$B$4:$B$8,'Control Panel'!$C$4:$C$8,"0")</f>
        <v>1.3</v>
      </c>
      <c r="E616">
        <f>_xlfn.XLOOKUP(B616, 'Control Panel'!$B$11:$B$17,'Control Panel'!$C$11:$C$17,"0")</f>
        <v>0.95</v>
      </c>
      <c r="G616" s="9" t="str">
        <f>_xlfn.XLOOKUP(F616, 'Control Panel'!$B$20:$B$26,'Control Panel'!$C$20:$C$26,"0")</f>
        <v>0</v>
      </c>
      <c r="H616">
        <v>0</v>
      </c>
      <c r="I616">
        <f t="shared" si="9"/>
        <v>1.2349999999999999</v>
      </c>
      <c r="J616">
        <f>MAX(300,SUM('Control Panel'!$B$1*I616))</f>
        <v>370.49999999999994</v>
      </c>
    </row>
    <row r="617" spans="1:10" x14ac:dyDescent="0.25">
      <c r="A617" s="5">
        <v>46618</v>
      </c>
      <c r="B617" s="7" t="s">
        <v>5</v>
      </c>
      <c r="C617" s="9" t="s">
        <v>16</v>
      </c>
      <c r="D617">
        <f>_xlfn.XLOOKUP(C617, 'Control Panel'!$B$4:$B$8,'Control Panel'!$C$4:$C$8,"0")</f>
        <v>1.3</v>
      </c>
      <c r="E617">
        <f>_xlfn.XLOOKUP(B617, 'Control Panel'!$B$11:$B$17,'Control Panel'!$C$11:$C$17,"0")</f>
        <v>0.95</v>
      </c>
      <c r="G617" s="9" t="str">
        <f>_xlfn.XLOOKUP(F617, 'Control Panel'!$B$20:$B$26,'Control Panel'!$C$20:$C$26,"0")</f>
        <v>0</v>
      </c>
      <c r="H617">
        <v>0</v>
      </c>
      <c r="I617">
        <f t="shared" si="9"/>
        <v>1.2349999999999999</v>
      </c>
      <c r="J617">
        <f>MAX(300,SUM('Control Panel'!$B$1*I617))</f>
        <v>370.49999999999994</v>
      </c>
    </row>
    <row r="618" spans="1:10" x14ac:dyDescent="0.25">
      <c r="A618" s="5">
        <v>46619</v>
      </c>
      <c r="B618" s="7" t="s">
        <v>8</v>
      </c>
      <c r="C618" s="9" t="s">
        <v>16</v>
      </c>
      <c r="D618">
        <f>_xlfn.XLOOKUP(C618, 'Control Panel'!$B$4:$B$8,'Control Panel'!$C$4:$C$8,"0")</f>
        <v>1.3</v>
      </c>
      <c r="E618">
        <f>_xlfn.XLOOKUP(B618, 'Control Panel'!$B$11:$B$17,'Control Panel'!$C$11:$C$17,"0")</f>
        <v>1.1000000000000001</v>
      </c>
      <c r="G618" s="9" t="str">
        <f>_xlfn.XLOOKUP(F618, 'Control Panel'!$B$20:$B$26,'Control Panel'!$C$20:$C$26,"0")</f>
        <v>0</v>
      </c>
      <c r="H618">
        <v>0</v>
      </c>
      <c r="I618">
        <f t="shared" si="9"/>
        <v>1.4300000000000002</v>
      </c>
      <c r="J618">
        <f>MAX(300,SUM('Control Panel'!$B$1*I618))</f>
        <v>429.00000000000006</v>
      </c>
    </row>
    <row r="619" spans="1:10" x14ac:dyDescent="0.25">
      <c r="A619" s="5">
        <v>46620</v>
      </c>
      <c r="B619" s="7" t="s">
        <v>9</v>
      </c>
      <c r="C619" s="9" t="s">
        <v>16</v>
      </c>
      <c r="D619">
        <f>_xlfn.XLOOKUP(C619, 'Control Panel'!$B$4:$B$8,'Control Panel'!$C$4:$C$8,"0")</f>
        <v>1.3</v>
      </c>
      <c r="E619">
        <f>_xlfn.XLOOKUP(B619, 'Control Panel'!$B$11:$B$17,'Control Panel'!$C$11:$C$17,"0")</f>
        <v>1.25</v>
      </c>
      <c r="G619" s="9" t="str">
        <f>_xlfn.XLOOKUP(F619, 'Control Panel'!$B$20:$B$26,'Control Panel'!$C$20:$C$26,"0")</f>
        <v>0</v>
      </c>
      <c r="H619">
        <v>0</v>
      </c>
      <c r="I619">
        <f t="shared" si="9"/>
        <v>1.625</v>
      </c>
      <c r="J619">
        <f>MAX(300,SUM('Control Panel'!$B$1*I619))</f>
        <v>487.5</v>
      </c>
    </row>
    <row r="620" spans="1:10" x14ac:dyDescent="0.25">
      <c r="A620" s="5">
        <v>46621</v>
      </c>
      <c r="B620" s="7" t="s">
        <v>10</v>
      </c>
      <c r="C620" s="9" t="s">
        <v>16</v>
      </c>
      <c r="D620">
        <f>_xlfn.XLOOKUP(C620, 'Control Panel'!$B$4:$B$8,'Control Panel'!$C$4:$C$8,"0")</f>
        <v>1.3</v>
      </c>
      <c r="E620">
        <f>_xlfn.XLOOKUP(B620, 'Control Panel'!$B$11:$B$17,'Control Panel'!$C$11:$C$17,"0")</f>
        <v>1.05</v>
      </c>
      <c r="G620" s="9" t="str">
        <f>_xlfn.XLOOKUP(F620, 'Control Panel'!$B$20:$B$26,'Control Panel'!$C$20:$C$26,"0")</f>
        <v>0</v>
      </c>
      <c r="H620">
        <v>0</v>
      </c>
      <c r="I620">
        <f t="shared" si="9"/>
        <v>1.3650000000000002</v>
      </c>
      <c r="J620">
        <f>MAX(300,SUM('Control Panel'!$B$1*I620))</f>
        <v>409.50000000000006</v>
      </c>
    </row>
    <row r="621" spans="1:10" x14ac:dyDescent="0.25">
      <c r="A621" s="5">
        <v>46622</v>
      </c>
      <c r="B621" s="7" t="s">
        <v>11</v>
      </c>
      <c r="C621" s="9" t="s">
        <v>16</v>
      </c>
      <c r="D621">
        <f>_xlfn.XLOOKUP(C621, 'Control Panel'!$B$4:$B$8,'Control Panel'!$C$4:$C$8,"0")</f>
        <v>1.3</v>
      </c>
      <c r="E621">
        <f>_xlfn.XLOOKUP(B621, 'Control Panel'!$B$11:$B$17,'Control Panel'!$C$11:$C$17,"0")</f>
        <v>0.95</v>
      </c>
      <c r="G621" s="9" t="str">
        <f>_xlfn.XLOOKUP(F621, 'Control Panel'!$B$20:$B$26,'Control Panel'!$C$20:$C$26,"0")</f>
        <v>0</v>
      </c>
      <c r="H621">
        <v>0</v>
      </c>
      <c r="I621">
        <f t="shared" si="9"/>
        <v>1.2349999999999999</v>
      </c>
      <c r="J621">
        <f>MAX(300,SUM('Control Panel'!$B$1*I621))</f>
        <v>370.49999999999994</v>
      </c>
    </row>
    <row r="622" spans="1:10" x14ac:dyDescent="0.25">
      <c r="A622" s="5">
        <v>46623</v>
      </c>
      <c r="B622" s="7" t="s">
        <v>12</v>
      </c>
      <c r="C622" s="9" t="s">
        <v>16</v>
      </c>
      <c r="D622">
        <f>_xlfn.XLOOKUP(C622, 'Control Panel'!$B$4:$B$8,'Control Panel'!$C$4:$C$8,"0")</f>
        <v>1.3</v>
      </c>
      <c r="E622">
        <f>_xlfn.XLOOKUP(B622, 'Control Panel'!$B$11:$B$17,'Control Panel'!$C$11:$C$17,"0")</f>
        <v>0.95</v>
      </c>
      <c r="G622" s="9" t="str">
        <f>_xlfn.XLOOKUP(F622, 'Control Panel'!$B$20:$B$26,'Control Panel'!$C$20:$C$26,"0")</f>
        <v>0</v>
      </c>
      <c r="H622">
        <v>0</v>
      </c>
      <c r="I622">
        <f t="shared" si="9"/>
        <v>1.2349999999999999</v>
      </c>
      <c r="J622">
        <f>MAX(300,SUM('Control Panel'!$B$1*I622))</f>
        <v>370.49999999999994</v>
      </c>
    </row>
    <row r="623" spans="1:10" x14ac:dyDescent="0.25">
      <c r="A623" s="5">
        <v>46624</v>
      </c>
      <c r="B623" s="7" t="s">
        <v>13</v>
      </c>
      <c r="C623" s="9" t="s">
        <v>16</v>
      </c>
      <c r="D623">
        <f>_xlfn.XLOOKUP(C623, 'Control Panel'!$B$4:$B$8,'Control Panel'!$C$4:$C$8,"0")</f>
        <v>1.3</v>
      </c>
      <c r="E623">
        <f>_xlfn.XLOOKUP(B623, 'Control Panel'!$B$11:$B$17,'Control Panel'!$C$11:$C$17,"0")</f>
        <v>0.95</v>
      </c>
      <c r="G623" s="9" t="str">
        <f>_xlfn.XLOOKUP(F623, 'Control Panel'!$B$20:$B$26,'Control Panel'!$C$20:$C$26,"0")</f>
        <v>0</v>
      </c>
      <c r="H623">
        <v>0</v>
      </c>
      <c r="I623">
        <f t="shared" si="9"/>
        <v>1.2349999999999999</v>
      </c>
      <c r="J623">
        <f>MAX(300,SUM('Control Panel'!$B$1*I623))</f>
        <v>370.49999999999994</v>
      </c>
    </row>
    <row r="624" spans="1:10" x14ac:dyDescent="0.25">
      <c r="A624" s="5">
        <v>46625</v>
      </c>
      <c r="B624" s="7" t="s">
        <v>5</v>
      </c>
      <c r="C624" s="9" t="s">
        <v>16</v>
      </c>
      <c r="D624">
        <f>_xlfn.XLOOKUP(C624, 'Control Panel'!$B$4:$B$8,'Control Panel'!$C$4:$C$8,"0")</f>
        <v>1.3</v>
      </c>
      <c r="E624">
        <f>_xlfn.XLOOKUP(B624, 'Control Panel'!$B$11:$B$17,'Control Panel'!$C$11:$C$17,"0")</f>
        <v>0.95</v>
      </c>
      <c r="G624" s="9" t="str">
        <f>_xlfn.XLOOKUP(F624, 'Control Panel'!$B$20:$B$26,'Control Panel'!$C$20:$C$26,"0")</f>
        <v>0</v>
      </c>
      <c r="H624">
        <v>0</v>
      </c>
      <c r="I624">
        <f t="shared" si="9"/>
        <v>1.2349999999999999</v>
      </c>
      <c r="J624">
        <f>MAX(300,SUM('Control Panel'!$B$1*I624))</f>
        <v>370.49999999999994</v>
      </c>
    </row>
    <row r="625" spans="1:10" x14ac:dyDescent="0.25">
      <c r="A625" s="5">
        <v>46626</v>
      </c>
      <c r="B625" s="7" t="s">
        <v>8</v>
      </c>
      <c r="C625" s="9" t="s">
        <v>16</v>
      </c>
      <c r="D625">
        <f>_xlfn.XLOOKUP(C625, 'Control Panel'!$B$4:$B$8,'Control Panel'!$C$4:$C$8,"0")</f>
        <v>1.3</v>
      </c>
      <c r="E625">
        <f>_xlfn.XLOOKUP(B625, 'Control Panel'!$B$11:$B$17,'Control Panel'!$C$11:$C$17,"0")</f>
        <v>1.1000000000000001</v>
      </c>
      <c r="G625" s="9" t="str">
        <f>_xlfn.XLOOKUP(F625, 'Control Panel'!$B$20:$B$26,'Control Panel'!$C$20:$C$26,"0")</f>
        <v>0</v>
      </c>
      <c r="H625">
        <v>0</v>
      </c>
      <c r="I625">
        <f t="shared" si="9"/>
        <v>1.4300000000000002</v>
      </c>
      <c r="J625">
        <f>MAX(300,SUM('Control Panel'!$B$1*I625))</f>
        <v>429.00000000000006</v>
      </c>
    </row>
    <row r="626" spans="1:10" x14ac:dyDescent="0.25">
      <c r="A626" s="5">
        <v>46627</v>
      </c>
      <c r="B626" s="7" t="s">
        <v>9</v>
      </c>
      <c r="C626" s="9" t="s">
        <v>16</v>
      </c>
      <c r="D626">
        <f>_xlfn.XLOOKUP(C626, 'Control Panel'!$B$4:$B$8,'Control Panel'!$C$4:$C$8,"0")</f>
        <v>1.3</v>
      </c>
      <c r="E626">
        <f>_xlfn.XLOOKUP(B626, 'Control Panel'!$B$11:$B$17,'Control Panel'!$C$11:$C$17,"0")</f>
        <v>1.25</v>
      </c>
      <c r="G626" s="9" t="str">
        <f>_xlfn.XLOOKUP(F626, 'Control Panel'!$B$20:$B$26,'Control Panel'!$C$20:$C$26,"0")</f>
        <v>0</v>
      </c>
      <c r="H626">
        <v>0</v>
      </c>
      <c r="I626">
        <f t="shared" si="9"/>
        <v>1.625</v>
      </c>
      <c r="J626">
        <f>MAX(300,SUM('Control Panel'!$B$1*I626))</f>
        <v>487.5</v>
      </c>
    </row>
    <row r="627" spans="1:10" x14ac:dyDescent="0.25">
      <c r="A627" s="5">
        <v>46628</v>
      </c>
      <c r="B627" s="7" t="s">
        <v>10</v>
      </c>
      <c r="C627" s="9" t="s">
        <v>16</v>
      </c>
      <c r="D627">
        <f>_xlfn.XLOOKUP(C627, 'Control Panel'!$B$4:$B$8,'Control Panel'!$C$4:$C$8,"0")</f>
        <v>1.3</v>
      </c>
      <c r="E627">
        <f>_xlfn.XLOOKUP(B627, 'Control Panel'!$B$11:$B$17,'Control Panel'!$C$11:$C$17,"0")</f>
        <v>1.05</v>
      </c>
      <c r="G627" s="9" t="str">
        <f>_xlfn.XLOOKUP(F627, 'Control Panel'!$B$20:$B$26,'Control Panel'!$C$20:$C$26,"0")</f>
        <v>0</v>
      </c>
      <c r="H627">
        <v>0</v>
      </c>
      <c r="I627">
        <f t="shared" si="9"/>
        <v>1.3650000000000002</v>
      </c>
      <c r="J627">
        <f>MAX(300,SUM('Control Panel'!$B$1*I627))</f>
        <v>409.50000000000006</v>
      </c>
    </row>
    <row r="628" spans="1:10" x14ac:dyDescent="0.25">
      <c r="A628" s="5">
        <v>46629</v>
      </c>
      <c r="B628" s="7" t="s">
        <v>11</v>
      </c>
      <c r="C628" s="9" t="s">
        <v>16</v>
      </c>
      <c r="D628">
        <f>_xlfn.XLOOKUP(C628, 'Control Panel'!$B$4:$B$8,'Control Panel'!$C$4:$C$8,"0")</f>
        <v>1.3</v>
      </c>
      <c r="E628">
        <f>_xlfn.XLOOKUP(B628, 'Control Panel'!$B$11:$B$17,'Control Panel'!$C$11:$C$17,"0")</f>
        <v>0.95</v>
      </c>
      <c r="G628" s="9" t="str">
        <f>_xlfn.XLOOKUP(F628, 'Control Panel'!$B$20:$B$26,'Control Panel'!$C$20:$C$26,"0")</f>
        <v>0</v>
      </c>
      <c r="H628">
        <v>0</v>
      </c>
      <c r="I628">
        <f t="shared" si="9"/>
        <v>1.2349999999999999</v>
      </c>
      <c r="J628">
        <f>MAX(300,SUM('Control Panel'!$B$1*I628))</f>
        <v>370.49999999999994</v>
      </c>
    </row>
    <row r="629" spans="1:10" x14ac:dyDescent="0.25">
      <c r="A629" s="5">
        <v>46630</v>
      </c>
      <c r="B629" s="7" t="s">
        <v>12</v>
      </c>
      <c r="C629" s="9" t="s">
        <v>16</v>
      </c>
      <c r="D629">
        <f>_xlfn.XLOOKUP(C629, 'Control Panel'!$B$4:$B$8,'Control Panel'!$C$4:$C$8,"0")</f>
        <v>1.3</v>
      </c>
      <c r="E629">
        <f>_xlfn.XLOOKUP(B629, 'Control Panel'!$B$11:$B$17,'Control Panel'!$C$11:$C$17,"0")</f>
        <v>0.95</v>
      </c>
      <c r="G629" s="9" t="str">
        <f>_xlfn.XLOOKUP(F629, 'Control Panel'!$B$20:$B$26,'Control Panel'!$C$20:$C$26,"0")</f>
        <v>0</v>
      </c>
      <c r="H629">
        <v>0</v>
      </c>
      <c r="I629">
        <f t="shared" si="9"/>
        <v>1.2349999999999999</v>
      </c>
      <c r="J629">
        <f>MAX(300,SUM('Control Panel'!$B$1*I629))</f>
        <v>370.49999999999994</v>
      </c>
    </row>
    <row r="630" spans="1:10" x14ac:dyDescent="0.25">
      <c r="A630" s="10" t="s">
        <v>40</v>
      </c>
      <c r="B630" s="13"/>
      <c r="C630" s="14"/>
      <c r="G630" s="9" t="str">
        <f>_xlfn.XLOOKUP(F630, 'Control Panel'!$B$20:$B$26,'Control Panel'!$C$20:$C$26,"0")</f>
        <v>0</v>
      </c>
    </row>
    <row r="631" spans="1:10" x14ac:dyDescent="0.25">
      <c r="A631" s="5">
        <v>46631</v>
      </c>
      <c r="B631" s="7" t="s">
        <v>13</v>
      </c>
      <c r="C631" s="9" t="s">
        <v>20</v>
      </c>
      <c r="D631">
        <f>_xlfn.XLOOKUP(C631, 'Control Panel'!$B$4:$B$8,'Control Panel'!$C$4:$C$8,"0")</f>
        <v>1.1499999999999999</v>
      </c>
      <c r="E631">
        <f>_xlfn.XLOOKUP(B631, 'Control Panel'!$B$11:$B$17,'Control Panel'!$C$11:$C$17,"0")</f>
        <v>0.95</v>
      </c>
      <c r="G631" s="9" t="str">
        <f>_xlfn.XLOOKUP(F631, 'Control Panel'!$B$20:$B$26,'Control Panel'!$C$20:$C$26,"0")</f>
        <v>0</v>
      </c>
      <c r="H631">
        <v>0</v>
      </c>
      <c r="I631">
        <f t="shared" si="9"/>
        <v>1.0924999999999998</v>
      </c>
      <c r="J631">
        <f>MAX(300,SUM('Control Panel'!$B$1*I631))</f>
        <v>327.74999999999994</v>
      </c>
    </row>
    <row r="632" spans="1:10" x14ac:dyDescent="0.25">
      <c r="A632" s="5">
        <v>46632</v>
      </c>
      <c r="B632" s="7" t="s">
        <v>5</v>
      </c>
      <c r="C632" s="9" t="s">
        <v>20</v>
      </c>
      <c r="D632">
        <f>_xlfn.XLOOKUP(C632, 'Control Panel'!$B$4:$B$8,'Control Panel'!$C$4:$C$8,"0")</f>
        <v>1.1499999999999999</v>
      </c>
      <c r="E632">
        <f>_xlfn.XLOOKUP(B632, 'Control Panel'!$B$11:$B$17,'Control Panel'!$C$11:$C$17,"0")</f>
        <v>0.95</v>
      </c>
      <c r="G632" s="9" t="str">
        <f>_xlfn.XLOOKUP(F632, 'Control Panel'!$B$20:$B$26,'Control Panel'!$C$20:$C$26,"0")</f>
        <v>0</v>
      </c>
      <c r="H632">
        <v>0</v>
      </c>
      <c r="I632">
        <f t="shared" si="9"/>
        <v>1.0924999999999998</v>
      </c>
      <c r="J632">
        <f>MAX(300,SUM('Control Panel'!$B$1*I632))</f>
        <v>327.74999999999994</v>
      </c>
    </row>
    <row r="633" spans="1:10" x14ac:dyDescent="0.25">
      <c r="A633" s="5">
        <v>46633</v>
      </c>
      <c r="B633" s="7" t="s">
        <v>8</v>
      </c>
      <c r="C633" s="9" t="s">
        <v>20</v>
      </c>
      <c r="D633">
        <f>_xlfn.XLOOKUP(C633, 'Control Panel'!$B$4:$B$8,'Control Panel'!$C$4:$C$8,"0")</f>
        <v>1.1499999999999999</v>
      </c>
      <c r="E633">
        <f>_xlfn.XLOOKUP(B633, 'Control Panel'!$B$11:$B$17,'Control Panel'!$C$11:$C$17,"0")</f>
        <v>1.1000000000000001</v>
      </c>
      <c r="G633" s="9" t="str">
        <f>_xlfn.XLOOKUP(F633, 'Control Panel'!$B$20:$B$26,'Control Panel'!$C$20:$C$26,"0")</f>
        <v>0</v>
      </c>
      <c r="H633">
        <v>0</v>
      </c>
      <c r="I633">
        <f t="shared" si="9"/>
        <v>1.2649999999999999</v>
      </c>
      <c r="J633">
        <f>MAX(300,SUM('Control Panel'!$B$1*I633))</f>
        <v>379.49999999999994</v>
      </c>
    </row>
    <row r="634" spans="1:10" x14ac:dyDescent="0.25">
      <c r="A634" s="5">
        <v>46634</v>
      </c>
      <c r="B634" s="7" t="s">
        <v>9</v>
      </c>
      <c r="C634" s="9" t="s">
        <v>20</v>
      </c>
      <c r="D634">
        <f>_xlfn.XLOOKUP(C634, 'Control Panel'!$B$4:$B$8,'Control Panel'!$C$4:$C$8,"0")</f>
        <v>1.1499999999999999</v>
      </c>
      <c r="E634">
        <f>_xlfn.XLOOKUP(B634, 'Control Panel'!$B$11:$B$17,'Control Panel'!$C$11:$C$17,"0")</f>
        <v>1.25</v>
      </c>
      <c r="G634" s="9" t="str">
        <f>_xlfn.XLOOKUP(F634, 'Control Panel'!$B$20:$B$26,'Control Panel'!$C$20:$C$26,"0")</f>
        <v>0</v>
      </c>
      <c r="H634">
        <v>0</v>
      </c>
      <c r="I634">
        <f t="shared" si="9"/>
        <v>1.4375</v>
      </c>
      <c r="J634">
        <f>MAX(300,SUM('Control Panel'!$B$1*I634))</f>
        <v>431.25</v>
      </c>
    </row>
    <row r="635" spans="1:10" x14ac:dyDescent="0.25">
      <c r="A635" s="5">
        <v>46635</v>
      </c>
      <c r="B635" s="7" t="s">
        <v>10</v>
      </c>
      <c r="C635" s="9" t="s">
        <v>20</v>
      </c>
      <c r="D635">
        <f>_xlfn.XLOOKUP(C635, 'Control Panel'!$B$4:$B$8,'Control Panel'!$C$4:$C$8,"0")</f>
        <v>1.1499999999999999</v>
      </c>
      <c r="E635">
        <f>_xlfn.XLOOKUP(B635, 'Control Panel'!$B$11:$B$17,'Control Panel'!$C$11:$C$17,"0")</f>
        <v>1.05</v>
      </c>
      <c r="G635" s="9" t="str">
        <f>_xlfn.XLOOKUP(F635, 'Control Panel'!$B$20:$B$26,'Control Panel'!$C$20:$C$26,"0")</f>
        <v>0</v>
      </c>
      <c r="H635">
        <v>0</v>
      </c>
      <c r="I635">
        <f t="shared" si="9"/>
        <v>1.2075</v>
      </c>
      <c r="J635">
        <f>MAX(300,SUM('Control Panel'!$B$1*I635))</f>
        <v>362.25</v>
      </c>
    </row>
    <row r="636" spans="1:10" x14ac:dyDescent="0.25">
      <c r="A636" s="5">
        <v>46636</v>
      </c>
      <c r="B636" s="7" t="s">
        <v>11</v>
      </c>
      <c r="C636" s="9" t="s">
        <v>20</v>
      </c>
      <c r="D636">
        <f>_xlfn.XLOOKUP(C636, 'Control Panel'!$B$4:$B$8,'Control Panel'!$C$4:$C$8,"0")</f>
        <v>1.1499999999999999</v>
      </c>
      <c r="E636">
        <f>_xlfn.XLOOKUP(B636, 'Control Panel'!$B$11:$B$17,'Control Panel'!$C$11:$C$17,"0")</f>
        <v>0.95</v>
      </c>
      <c r="F636" t="s">
        <v>21</v>
      </c>
      <c r="G636" s="9">
        <f>_xlfn.XLOOKUP(F636, 'Control Panel'!$B$20:$B$26,'Control Panel'!$C$20:$C$26,"0")</f>
        <v>0.25</v>
      </c>
      <c r="H636">
        <v>0</v>
      </c>
      <c r="I636">
        <f t="shared" si="9"/>
        <v>1.3424999999999998</v>
      </c>
      <c r="J636">
        <f>MAX(300,SUM('Control Panel'!$B$1*I636))</f>
        <v>402.74999999999994</v>
      </c>
    </row>
    <row r="637" spans="1:10" x14ac:dyDescent="0.25">
      <c r="A637" s="5">
        <v>46637</v>
      </c>
      <c r="B637" s="7" t="s">
        <v>12</v>
      </c>
      <c r="C637" s="9" t="s">
        <v>20</v>
      </c>
      <c r="D637">
        <f>_xlfn.XLOOKUP(C637, 'Control Panel'!$B$4:$B$8,'Control Panel'!$C$4:$C$8,"0")</f>
        <v>1.1499999999999999</v>
      </c>
      <c r="E637">
        <f>_xlfn.XLOOKUP(B637, 'Control Panel'!$B$11:$B$17,'Control Panel'!$C$11:$C$17,"0")</f>
        <v>0.95</v>
      </c>
      <c r="G637" s="9" t="str">
        <f>_xlfn.XLOOKUP(F637, 'Control Panel'!$B$20:$B$26,'Control Panel'!$C$20:$C$26,"0")</f>
        <v>0</v>
      </c>
      <c r="H637">
        <v>0</v>
      </c>
      <c r="I637">
        <f t="shared" si="9"/>
        <v>1.0924999999999998</v>
      </c>
      <c r="J637">
        <f>MAX(300,SUM('Control Panel'!$B$1*I637))</f>
        <v>327.74999999999994</v>
      </c>
    </row>
    <row r="638" spans="1:10" x14ac:dyDescent="0.25">
      <c r="A638" s="5">
        <v>46638</v>
      </c>
      <c r="B638" s="7" t="s">
        <v>13</v>
      </c>
      <c r="C638" s="9" t="s">
        <v>20</v>
      </c>
      <c r="D638">
        <f>_xlfn.XLOOKUP(C638, 'Control Panel'!$B$4:$B$8,'Control Panel'!$C$4:$C$8,"0")</f>
        <v>1.1499999999999999</v>
      </c>
      <c r="E638">
        <f>_xlfn.XLOOKUP(B638, 'Control Panel'!$B$11:$B$17,'Control Panel'!$C$11:$C$17,"0")</f>
        <v>0.95</v>
      </c>
      <c r="G638" s="9" t="str">
        <f>_xlfn.XLOOKUP(F638, 'Control Panel'!$B$20:$B$26,'Control Panel'!$C$20:$C$26,"0")</f>
        <v>0</v>
      </c>
      <c r="H638">
        <v>0</v>
      </c>
      <c r="I638">
        <f t="shared" si="9"/>
        <v>1.0924999999999998</v>
      </c>
      <c r="J638">
        <f>MAX(300,SUM('Control Panel'!$B$1*I638))</f>
        <v>327.74999999999994</v>
      </c>
    </row>
    <row r="639" spans="1:10" x14ac:dyDescent="0.25">
      <c r="A639" s="5">
        <v>46639</v>
      </c>
      <c r="B639" s="7" t="s">
        <v>5</v>
      </c>
      <c r="C639" s="9" t="s">
        <v>20</v>
      </c>
      <c r="D639">
        <f>_xlfn.XLOOKUP(C639, 'Control Panel'!$B$4:$B$8,'Control Panel'!$C$4:$C$8,"0")</f>
        <v>1.1499999999999999</v>
      </c>
      <c r="E639">
        <f>_xlfn.XLOOKUP(B639, 'Control Panel'!$B$11:$B$17,'Control Panel'!$C$11:$C$17,"0")</f>
        <v>0.95</v>
      </c>
      <c r="G639" s="9" t="str">
        <f>_xlfn.XLOOKUP(F639, 'Control Panel'!$B$20:$B$26,'Control Panel'!$C$20:$C$26,"0")</f>
        <v>0</v>
      </c>
      <c r="H639">
        <v>0</v>
      </c>
      <c r="I639">
        <f t="shared" si="9"/>
        <v>1.0924999999999998</v>
      </c>
      <c r="J639">
        <f>MAX(300,SUM('Control Panel'!$B$1*I639))</f>
        <v>327.74999999999994</v>
      </c>
    </row>
    <row r="640" spans="1:10" x14ac:dyDescent="0.25">
      <c r="A640" s="5">
        <v>46640</v>
      </c>
      <c r="B640" s="7" t="s">
        <v>8</v>
      </c>
      <c r="C640" s="9" t="s">
        <v>20</v>
      </c>
      <c r="D640">
        <f>_xlfn.XLOOKUP(C640, 'Control Panel'!$B$4:$B$8,'Control Panel'!$C$4:$C$8,"0")</f>
        <v>1.1499999999999999</v>
      </c>
      <c r="E640">
        <f>_xlfn.XLOOKUP(B640, 'Control Panel'!$B$11:$B$17,'Control Panel'!$C$11:$C$17,"0")</f>
        <v>1.1000000000000001</v>
      </c>
      <c r="G640" s="9" t="str">
        <f>_xlfn.XLOOKUP(F640, 'Control Panel'!$B$20:$B$26,'Control Panel'!$C$20:$C$26,"0")</f>
        <v>0</v>
      </c>
      <c r="H640">
        <v>0</v>
      </c>
      <c r="I640">
        <f t="shared" si="9"/>
        <v>1.2649999999999999</v>
      </c>
      <c r="J640">
        <f>MAX(300,SUM('Control Panel'!$B$1*I640))</f>
        <v>379.49999999999994</v>
      </c>
    </row>
    <row r="641" spans="1:10" x14ac:dyDescent="0.25">
      <c r="A641" s="5">
        <v>46641</v>
      </c>
      <c r="B641" s="7" t="s">
        <v>9</v>
      </c>
      <c r="C641" s="9" t="s">
        <v>20</v>
      </c>
      <c r="D641">
        <f>_xlfn.XLOOKUP(C641, 'Control Panel'!$B$4:$B$8,'Control Panel'!$C$4:$C$8,"0")</f>
        <v>1.1499999999999999</v>
      </c>
      <c r="E641">
        <f>_xlfn.XLOOKUP(B641, 'Control Panel'!$B$11:$B$17,'Control Panel'!$C$11:$C$17,"0")</f>
        <v>1.25</v>
      </c>
      <c r="G641" s="9" t="str">
        <f>_xlfn.XLOOKUP(F641, 'Control Panel'!$B$20:$B$26,'Control Panel'!$C$20:$C$26,"0")</f>
        <v>0</v>
      </c>
      <c r="H641">
        <v>0</v>
      </c>
      <c r="I641">
        <f t="shared" si="9"/>
        <v>1.4375</v>
      </c>
      <c r="J641">
        <f>MAX(300,SUM('Control Panel'!$B$1*I641))</f>
        <v>431.25</v>
      </c>
    </row>
    <row r="642" spans="1:10" x14ac:dyDescent="0.25">
      <c r="A642" s="5">
        <v>46642</v>
      </c>
      <c r="B642" s="7" t="s">
        <v>10</v>
      </c>
      <c r="C642" s="9" t="s">
        <v>20</v>
      </c>
      <c r="D642">
        <f>_xlfn.XLOOKUP(C642, 'Control Panel'!$B$4:$B$8,'Control Panel'!$C$4:$C$8,"0")</f>
        <v>1.1499999999999999</v>
      </c>
      <c r="E642">
        <f>_xlfn.XLOOKUP(B642, 'Control Panel'!$B$11:$B$17,'Control Panel'!$C$11:$C$17,"0")</f>
        <v>1.05</v>
      </c>
      <c r="G642" s="9" t="str">
        <f>_xlfn.XLOOKUP(F642, 'Control Panel'!$B$20:$B$26,'Control Panel'!$C$20:$C$26,"0")</f>
        <v>0</v>
      </c>
      <c r="H642">
        <v>0</v>
      </c>
      <c r="I642">
        <f t="shared" si="9"/>
        <v>1.2075</v>
      </c>
      <c r="J642">
        <f>MAX(300,SUM('Control Panel'!$B$1*I642))</f>
        <v>362.25</v>
      </c>
    </row>
    <row r="643" spans="1:10" x14ac:dyDescent="0.25">
      <c r="A643" s="5">
        <v>46643</v>
      </c>
      <c r="B643" s="7" t="s">
        <v>11</v>
      </c>
      <c r="C643" s="9" t="s">
        <v>20</v>
      </c>
      <c r="D643">
        <f>_xlfn.XLOOKUP(C643, 'Control Panel'!$B$4:$B$8,'Control Panel'!$C$4:$C$8,"0")</f>
        <v>1.1499999999999999</v>
      </c>
      <c r="E643">
        <f>_xlfn.XLOOKUP(B643, 'Control Panel'!$B$11:$B$17,'Control Panel'!$C$11:$C$17,"0")</f>
        <v>0.95</v>
      </c>
      <c r="G643" s="9" t="str">
        <f>_xlfn.XLOOKUP(F643, 'Control Panel'!$B$20:$B$26,'Control Panel'!$C$20:$C$26,"0")</f>
        <v>0</v>
      </c>
      <c r="H643">
        <v>0</v>
      </c>
      <c r="I643">
        <f t="shared" si="9"/>
        <v>1.0924999999999998</v>
      </c>
      <c r="J643">
        <f>MAX(300,SUM('Control Panel'!$B$1*I643))</f>
        <v>327.74999999999994</v>
      </c>
    </row>
    <row r="644" spans="1:10" x14ac:dyDescent="0.25">
      <c r="A644" s="5">
        <v>46644</v>
      </c>
      <c r="B644" s="7" t="s">
        <v>12</v>
      </c>
      <c r="C644" s="9" t="s">
        <v>20</v>
      </c>
      <c r="D644">
        <f>_xlfn.XLOOKUP(C644, 'Control Panel'!$B$4:$B$8,'Control Panel'!$C$4:$C$8,"0")</f>
        <v>1.1499999999999999</v>
      </c>
      <c r="E644">
        <f>_xlfn.XLOOKUP(B644, 'Control Panel'!$B$11:$B$17,'Control Panel'!$C$11:$C$17,"0")</f>
        <v>0.95</v>
      </c>
      <c r="G644" s="9" t="str">
        <f>_xlfn.XLOOKUP(F644, 'Control Panel'!$B$20:$B$26,'Control Panel'!$C$20:$C$26,"0")</f>
        <v>0</v>
      </c>
      <c r="H644">
        <v>0</v>
      </c>
      <c r="I644">
        <f t="shared" si="9"/>
        <v>1.0924999999999998</v>
      </c>
      <c r="J644">
        <f>MAX(300,SUM('Control Panel'!$B$1*I644))</f>
        <v>327.74999999999994</v>
      </c>
    </row>
    <row r="645" spans="1:10" x14ac:dyDescent="0.25">
      <c r="A645" s="5">
        <v>46645</v>
      </c>
      <c r="B645" s="7" t="s">
        <v>13</v>
      </c>
      <c r="C645" s="9" t="s">
        <v>20</v>
      </c>
      <c r="D645">
        <f>_xlfn.XLOOKUP(C645, 'Control Panel'!$B$4:$B$8,'Control Panel'!$C$4:$C$8,"0")</f>
        <v>1.1499999999999999</v>
      </c>
      <c r="E645">
        <f>_xlfn.XLOOKUP(B645, 'Control Panel'!$B$11:$B$17,'Control Panel'!$C$11:$C$17,"0")</f>
        <v>0.95</v>
      </c>
      <c r="G645" s="9" t="str">
        <f>_xlfn.XLOOKUP(F645, 'Control Panel'!$B$20:$B$26,'Control Panel'!$C$20:$C$26,"0")</f>
        <v>0</v>
      </c>
      <c r="H645">
        <v>0</v>
      </c>
      <c r="I645">
        <f t="shared" si="9"/>
        <v>1.0924999999999998</v>
      </c>
      <c r="J645">
        <f>MAX(300,SUM('Control Panel'!$B$1*I645))</f>
        <v>327.74999999999994</v>
      </c>
    </row>
    <row r="646" spans="1:10" x14ac:dyDescent="0.25">
      <c r="A646" s="5">
        <v>46646</v>
      </c>
      <c r="B646" s="7" t="s">
        <v>5</v>
      </c>
      <c r="C646" s="9" t="s">
        <v>20</v>
      </c>
      <c r="D646">
        <f>_xlfn.XLOOKUP(C646, 'Control Panel'!$B$4:$B$8,'Control Panel'!$C$4:$C$8,"0")</f>
        <v>1.1499999999999999</v>
      </c>
      <c r="E646">
        <f>_xlfn.XLOOKUP(B646, 'Control Panel'!$B$11:$B$17,'Control Panel'!$C$11:$C$17,"0")</f>
        <v>0.95</v>
      </c>
      <c r="G646" s="9" t="str">
        <f>_xlfn.XLOOKUP(F646, 'Control Panel'!$B$20:$B$26,'Control Panel'!$C$20:$C$26,"0")</f>
        <v>0</v>
      </c>
      <c r="H646">
        <v>0</v>
      </c>
      <c r="I646">
        <f t="shared" si="9"/>
        <v>1.0924999999999998</v>
      </c>
      <c r="J646">
        <f>MAX(300,SUM('Control Panel'!$B$1*I646))</f>
        <v>327.74999999999994</v>
      </c>
    </row>
    <row r="647" spans="1:10" x14ac:dyDescent="0.25">
      <c r="A647" s="5">
        <v>46647</v>
      </c>
      <c r="B647" s="7" t="s">
        <v>8</v>
      </c>
      <c r="C647" s="9" t="s">
        <v>20</v>
      </c>
      <c r="D647">
        <f>_xlfn.XLOOKUP(C647, 'Control Panel'!$B$4:$B$8,'Control Panel'!$C$4:$C$8,"0")</f>
        <v>1.1499999999999999</v>
      </c>
      <c r="E647">
        <f>_xlfn.XLOOKUP(B647, 'Control Panel'!$B$11:$B$17,'Control Panel'!$C$11:$C$17,"0")</f>
        <v>1.1000000000000001</v>
      </c>
      <c r="G647" s="9" t="str">
        <f>_xlfn.XLOOKUP(F647, 'Control Panel'!$B$20:$B$26,'Control Panel'!$C$20:$C$26,"0")</f>
        <v>0</v>
      </c>
      <c r="H647">
        <v>0</v>
      </c>
      <c r="I647">
        <f t="shared" si="9"/>
        <v>1.2649999999999999</v>
      </c>
      <c r="J647">
        <f>MAX(300,SUM('Control Panel'!$B$1*I647))</f>
        <v>379.49999999999994</v>
      </c>
    </row>
    <row r="648" spans="1:10" x14ac:dyDescent="0.25">
      <c r="A648" s="5">
        <v>46648</v>
      </c>
      <c r="B648" s="7" t="s">
        <v>9</v>
      </c>
      <c r="C648" s="9" t="s">
        <v>20</v>
      </c>
      <c r="D648">
        <f>_xlfn.XLOOKUP(C648, 'Control Panel'!$B$4:$B$8,'Control Panel'!$C$4:$C$8,"0")</f>
        <v>1.1499999999999999</v>
      </c>
      <c r="E648">
        <f>_xlfn.XLOOKUP(B648, 'Control Panel'!$B$11:$B$17,'Control Panel'!$C$11:$C$17,"0")</f>
        <v>1.25</v>
      </c>
      <c r="G648" s="9" t="str">
        <f>_xlfn.XLOOKUP(F648, 'Control Panel'!$B$20:$B$26,'Control Panel'!$C$20:$C$26,"0")</f>
        <v>0</v>
      </c>
      <c r="H648">
        <v>0</v>
      </c>
      <c r="I648">
        <f t="shared" si="9"/>
        <v>1.4375</v>
      </c>
      <c r="J648">
        <f>MAX(300,SUM('Control Panel'!$B$1*I648))</f>
        <v>431.25</v>
      </c>
    </row>
    <row r="649" spans="1:10" x14ac:dyDescent="0.25">
      <c r="A649" s="5">
        <v>46649</v>
      </c>
      <c r="B649" s="7" t="s">
        <v>10</v>
      </c>
      <c r="C649" s="9" t="s">
        <v>20</v>
      </c>
      <c r="D649">
        <f>_xlfn.XLOOKUP(C649, 'Control Panel'!$B$4:$B$8,'Control Panel'!$C$4:$C$8,"0")</f>
        <v>1.1499999999999999</v>
      </c>
      <c r="E649">
        <f>_xlfn.XLOOKUP(B649, 'Control Panel'!$B$11:$B$17,'Control Panel'!$C$11:$C$17,"0")</f>
        <v>1.05</v>
      </c>
      <c r="G649" s="9" t="str">
        <f>_xlfn.XLOOKUP(F649, 'Control Panel'!$B$20:$B$26,'Control Panel'!$C$20:$C$26,"0")</f>
        <v>0</v>
      </c>
      <c r="H649">
        <v>0</v>
      </c>
      <c r="I649">
        <f t="shared" si="9"/>
        <v>1.2075</v>
      </c>
      <c r="J649">
        <f>MAX(300,SUM('Control Panel'!$B$1*I649))</f>
        <v>362.25</v>
      </c>
    </row>
    <row r="650" spans="1:10" x14ac:dyDescent="0.25">
      <c r="A650" s="5">
        <v>46650</v>
      </c>
      <c r="B650" s="7" t="s">
        <v>11</v>
      </c>
      <c r="C650" s="9" t="s">
        <v>20</v>
      </c>
      <c r="D650">
        <f>_xlfn.XLOOKUP(C650, 'Control Panel'!$B$4:$B$8,'Control Panel'!$C$4:$C$8,"0")</f>
        <v>1.1499999999999999</v>
      </c>
      <c r="E650">
        <f>_xlfn.XLOOKUP(B650, 'Control Panel'!$B$11:$B$17,'Control Panel'!$C$11:$C$17,"0")</f>
        <v>0.95</v>
      </c>
      <c r="G650" s="9" t="str">
        <f>_xlfn.XLOOKUP(F650, 'Control Panel'!$B$20:$B$26,'Control Panel'!$C$20:$C$26,"0")</f>
        <v>0</v>
      </c>
      <c r="H650">
        <v>0</v>
      </c>
      <c r="I650">
        <f t="shared" si="9"/>
        <v>1.0924999999999998</v>
      </c>
      <c r="J650">
        <f>MAX(300,SUM('Control Panel'!$B$1*I650))</f>
        <v>327.74999999999994</v>
      </c>
    </row>
    <row r="651" spans="1:10" x14ac:dyDescent="0.25">
      <c r="A651" s="5">
        <v>46651</v>
      </c>
      <c r="B651" s="7" t="s">
        <v>12</v>
      </c>
      <c r="C651" s="9" t="s">
        <v>20</v>
      </c>
      <c r="D651">
        <f>_xlfn.XLOOKUP(C651, 'Control Panel'!$B$4:$B$8,'Control Panel'!$C$4:$C$8,"0")</f>
        <v>1.1499999999999999</v>
      </c>
      <c r="E651">
        <f>_xlfn.XLOOKUP(B651, 'Control Panel'!$B$11:$B$17,'Control Panel'!$C$11:$C$17,"0")</f>
        <v>0.95</v>
      </c>
      <c r="G651" s="9" t="str">
        <f>_xlfn.XLOOKUP(F651, 'Control Panel'!$B$20:$B$26,'Control Panel'!$C$20:$C$26,"0")</f>
        <v>0</v>
      </c>
      <c r="H651">
        <v>0</v>
      </c>
      <c r="I651">
        <f t="shared" si="9"/>
        <v>1.0924999999999998</v>
      </c>
      <c r="J651">
        <f>MAX(300,SUM('Control Panel'!$B$1*I651))</f>
        <v>327.74999999999994</v>
      </c>
    </row>
    <row r="652" spans="1:10" x14ac:dyDescent="0.25">
      <c r="A652" s="5">
        <v>46652</v>
      </c>
      <c r="B652" s="7" t="s">
        <v>13</v>
      </c>
      <c r="C652" s="9" t="s">
        <v>20</v>
      </c>
      <c r="D652">
        <f>_xlfn.XLOOKUP(C652, 'Control Panel'!$B$4:$B$8,'Control Panel'!$C$4:$C$8,"0")</f>
        <v>1.1499999999999999</v>
      </c>
      <c r="E652">
        <f>_xlfn.XLOOKUP(B652, 'Control Panel'!$B$11:$B$17,'Control Panel'!$C$11:$C$17,"0")</f>
        <v>0.95</v>
      </c>
      <c r="G652" s="9" t="str">
        <f>_xlfn.XLOOKUP(F652, 'Control Panel'!$B$20:$B$26,'Control Panel'!$C$20:$C$26,"0")</f>
        <v>0</v>
      </c>
      <c r="H652">
        <v>0</v>
      </c>
      <c r="I652">
        <f t="shared" si="9"/>
        <v>1.0924999999999998</v>
      </c>
      <c r="J652">
        <f>MAX(300,SUM('Control Panel'!$B$1*I652))</f>
        <v>327.74999999999994</v>
      </c>
    </row>
    <row r="653" spans="1:10" x14ac:dyDescent="0.25">
      <c r="A653" s="5">
        <v>46653</v>
      </c>
      <c r="B653" s="7" t="s">
        <v>5</v>
      </c>
      <c r="C653" s="9" t="s">
        <v>20</v>
      </c>
      <c r="D653">
        <f>_xlfn.XLOOKUP(C653, 'Control Panel'!$B$4:$B$8,'Control Panel'!$C$4:$C$8,"0")</f>
        <v>1.1499999999999999</v>
      </c>
      <c r="E653">
        <f>_xlfn.XLOOKUP(B653, 'Control Panel'!$B$11:$B$17,'Control Panel'!$C$11:$C$17,"0")</f>
        <v>0.95</v>
      </c>
      <c r="G653" s="9" t="str">
        <f>_xlfn.XLOOKUP(F653, 'Control Panel'!$B$20:$B$26,'Control Panel'!$C$20:$C$26,"0")</f>
        <v>0</v>
      </c>
      <c r="H653">
        <v>0</v>
      </c>
      <c r="I653">
        <f t="shared" si="9"/>
        <v>1.0924999999999998</v>
      </c>
      <c r="J653">
        <f>MAX(300,SUM('Control Panel'!$B$1*I653))</f>
        <v>327.74999999999994</v>
      </c>
    </row>
    <row r="654" spans="1:10" x14ac:dyDescent="0.25">
      <c r="A654" s="5">
        <v>46654</v>
      </c>
      <c r="B654" s="7" t="s">
        <v>8</v>
      </c>
      <c r="C654" s="9" t="s">
        <v>20</v>
      </c>
      <c r="D654">
        <f>_xlfn.XLOOKUP(C654, 'Control Panel'!$B$4:$B$8,'Control Panel'!$C$4:$C$8,"0")</f>
        <v>1.1499999999999999</v>
      </c>
      <c r="E654">
        <f>_xlfn.XLOOKUP(B654, 'Control Panel'!$B$11:$B$17,'Control Panel'!$C$11:$C$17,"0")</f>
        <v>1.1000000000000001</v>
      </c>
      <c r="G654" s="9" t="str">
        <f>_xlfn.XLOOKUP(F654, 'Control Panel'!$B$20:$B$26,'Control Panel'!$C$20:$C$26,"0")</f>
        <v>0</v>
      </c>
      <c r="H654">
        <v>0</v>
      </c>
      <c r="I654">
        <f t="shared" si="9"/>
        <v>1.2649999999999999</v>
      </c>
      <c r="J654">
        <f>MAX(300,SUM('Control Panel'!$B$1*I654))</f>
        <v>379.49999999999994</v>
      </c>
    </row>
    <row r="655" spans="1:10" x14ac:dyDescent="0.25">
      <c r="A655" s="5">
        <v>46655</v>
      </c>
      <c r="B655" s="7" t="s">
        <v>9</v>
      </c>
      <c r="C655" s="9" t="s">
        <v>20</v>
      </c>
      <c r="D655">
        <f>_xlfn.XLOOKUP(C655, 'Control Panel'!$B$4:$B$8,'Control Panel'!$C$4:$C$8,"0")</f>
        <v>1.1499999999999999</v>
      </c>
      <c r="E655">
        <f>_xlfn.XLOOKUP(B655, 'Control Panel'!$B$11:$B$17,'Control Panel'!$C$11:$C$17,"0")</f>
        <v>1.25</v>
      </c>
      <c r="G655" s="9" t="str">
        <f>_xlfn.XLOOKUP(F655, 'Control Panel'!$B$20:$B$26,'Control Panel'!$C$20:$C$26,"0")</f>
        <v>0</v>
      </c>
      <c r="H655">
        <v>0</v>
      </c>
      <c r="I655">
        <f t="shared" si="9"/>
        <v>1.4375</v>
      </c>
      <c r="J655">
        <f>MAX(300,SUM('Control Panel'!$B$1*I655))</f>
        <v>431.25</v>
      </c>
    </row>
    <row r="656" spans="1:10" x14ac:dyDescent="0.25">
      <c r="A656" s="5">
        <v>46656</v>
      </c>
      <c r="B656" s="7" t="s">
        <v>10</v>
      </c>
      <c r="C656" s="9" t="s">
        <v>20</v>
      </c>
      <c r="D656">
        <f>_xlfn.XLOOKUP(C656, 'Control Panel'!$B$4:$B$8,'Control Panel'!$C$4:$C$8,"0")</f>
        <v>1.1499999999999999</v>
      </c>
      <c r="E656">
        <f>_xlfn.XLOOKUP(B656, 'Control Panel'!$B$11:$B$17,'Control Panel'!$C$11:$C$17,"0")</f>
        <v>1.05</v>
      </c>
      <c r="G656" s="9" t="str">
        <f>_xlfn.XLOOKUP(F656, 'Control Panel'!$B$20:$B$26,'Control Panel'!$C$20:$C$26,"0")</f>
        <v>0</v>
      </c>
      <c r="H656">
        <v>0</v>
      </c>
      <c r="I656">
        <f t="shared" si="9"/>
        <v>1.2075</v>
      </c>
      <c r="J656">
        <f>MAX(300,SUM('Control Panel'!$B$1*I656))</f>
        <v>362.25</v>
      </c>
    </row>
    <row r="657" spans="1:10" x14ac:dyDescent="0.25">
      <c r="A657" s="5">
        <v>46657</v>
      </c>
      <c r="B657" s="7" t="s">
        <v>11</v>
      </c>
      <c r="C657" s="9" t="s">
        <v>20</v>
      </c>
      <c r="D657">
        <f>_xlfn.XLOOKUP(C657, 'Control Panel'!$B$4:$B$8,'Control Panel'!$C$4:$C$8,"0")</f>
        <v>1.1499999999999999</v>
      </c>
      <c r="E657">
        <f>_xlfn.XLOOKUP(B657, 'Control Panel'!$B$11:$B$17,'Control Panel'!$C$11:$C$17,"0")</f>
        <v>0.95</v>
      </c>
      <c r="G657" s="9" t="str">
        <f>_xlfn.XLOOKUP(F657, 'Control Panel'!$B$20:$B$26,'Control Panel'!$C$20:$C$26,"0")</f>
        <v>0</v>
      </c>
      <c r="H657">
        <v>0</v>
      </c>
      <c r="I657">
        <f t="shared" si="9"/>
        <v>1.0924999999999998</v>
      </c>
      <c r="J657">
        <f>MAX(300,SUM('Control Panel'!$B$1*I657))</f>
        <v>327.74999999999994</v>
      </c>
    </row>
    <row r="658" spans="1:10" x14ac:dyDescent="0.25">
      <c r="A658" s="5">
        <v>46658</v>
      </c>
      <c r="B658" s="7" t="s">
        <v>12</v>
      </c>
      <c r="C658" s="9" t="s">
        <v>20</v>
      </c>
      <c r="D658">
        <f>_xlfn.XLOOKUP(C658, 'Control Panel'!$B$4:$B$8,'Control Panel'!$C$4:$C$8,"0")</f>
        <v>1.1499999999999999</v>
      </c>
      <c r="E658">
        <f>_xlfn.XLOOKUP(B658, 'Control Panel'!$B$11:$B$17,'Control Panel'!$C$11:$C$17,"0")</f>
        <v>0.95</v>
      </c>
      <c r="G658" s="9" t="str">
        <f>_xlfn.XLOOKUP(F658, 'Control Panel'!$B$20:$B$26,'Control Panel'!$C$20:$C$26,"0")</f>
        <v>0</v>
      </c>
      <c r="H658">
        <v>0</v>
      </c>
      <c r="I658">
        <f t="shared" si="9"/>
        <v>1.0924999999999998</v>
      </c>
      <c r="J658">
        <f>MAX(300,SUM('Control Panel'!$B$1*I658))</f>
        <v>327.74999999999994</v>
      </c>
    </row>
    <row r="659" spans="1:10" x14ac:dyDescent="0.25">
      <c r="A659" s="5">
        <v>46659</v>
      </c>
      <c r="B659" s="7" t="s">
        <v>13</v>
      </c>
      <c r="C659" s="9" t="s">
        <v>20</v>
      </c>
      <c r="D659">
        <f>_xlfn.XLOOKUP(C659, 'Control Panel'!$B$4:$B$8,'Control Panel'!$C$4:$C$8,"0")</f>
        <v>1.1499999999999999</v>
      </c>
      <c r="E659">
        <f>_xlfn.XLOOKUP(B659, 'Control Panel'!$B$11:$B$17,'Control Panel'!$C$11:$C$17,"0")</f>
        <v>0.95</v>
      </c>
      <c r="G659" s="9" t="str">
        <f>_xlfn.XLOOKUP(F659, 'Control Panel'!$B$20:$B$26,'Control Panel'!$C$20:$C$26,"0")</f>
        <v>0</v>
      </c>
      <c r="H659">
        <v>0</v>
      </c>
      <c r="I659">
        <f t="shared" si="9"/>
        <v>1.0924999999999998</v>
      </c>
      <c r="J659">
        <f>MAX(300,SUM('Control Panel'!$B$1*I659))</f>
        <v>327.74999999999994</v>
      </c>
    </row>
    <row r="660" spans="1:10" x14ac:dyDescent="0.25">
      <c r="A660" s="5">
        <v>46660</v>
      </c>
      <c r="B660" s="7" t="s">
        <v>5</v>
      </c>
      <c r="C660" s="9" t="s">
        <v>20</v>
      </c>
      <c r="D660">
        <f>_xlfn.XLOOKUP(C660, 'Control Panel'!$B$4:$B$8,'Control Panel'!$C$4:$C$8,"0")</f>
        <v>1.1499999999999999</v>
      </c>
      <c r="E660">
        <f>_xlfn.XLOOKUP(B660, 'Control Panel'!$B$11:$B$17,'Control Panel'!$C$11:$C$17,"0")</f>
        <v>0.95</v>
      </c>
      <c r="G660" s="9" t="str">
        <f>_xlfn.XLOOKUP(F660, 'Control Panel'!$B$20:$B$26,'Control Panel'!$C$20:$C$26,"0")</f>
        <v>0</v>
      </c>
      <c r="H660">
        <v>0</v>
      </c>
      <c r="I660">
        <f t="shared" si="9"/>
        <v>1.0924999999999998</v>
      </c>
      <c r="J660">
        <f>MAX(300,SUM('Control Panel'!$B$1*I660))</f>
        <v>327.74999999999994</v>
      </c>
    </row>
    <row r="661" spans="1:10" x14ac:dyDescent="0.25">
      <c r="A661" s="10" t="s">
        <v>41</v>
      </c>
      <c r="B661" s="13"/>
      <c r="C661" s="14"/>
      <c r="G661" s="9" t="str">
        <f>_xlfn.XLOOKUP(F661, 'Control Panel'!$B$20:$B$26,'Control Panel'!$C$20:$C$26,"0")</f>
        <v>0</v>
      </c>
    </row>
    <row r="662" spans="1:10" x14ac:dyDescent="0.25">
      <c r="A662" s="5">
        <v>46661</v>
      </c>
      <c r="B662" s="7" t="s">
        <v>8</v>
      </c>
      <c r="C662" s="9" t="s">
        <v>20</v>
      </c>
      <c r="D662">
        <f>_xlfn.XLOOKUP(C662, 'Control Panel'!$B$4:$B$8,'Control Panel'!$C$4:$C$8,"0")</f>
        <v>1.1499999999999999</v>
      </c>
      <c r="E662">
        <f>_xlfn.XLOOKUP(B662, 'Control Panel'!$B$11:$B$17,'Control Panel'!$C$11:$C$17,"0")</f>
        <v>1.1000000000000001</v>
      </c>
      <c r="G662" s="9" t="str">
        <f>_xlfn.XLOOKUP(F662, 'Control Panel'!$B$20:$B$26,'Control Panel'!$C$20:$C$26,"0")</f>
        <v>0</v>
      </c>
      <c r="H662">
        <v>0</v>
      </c>
      <c r="I662">
        <f t="shared" si="9"/>
        <v>1.2649999999999999</v>
      </c>
      <c r="J662">
        <f>MAX(300,SUM('Control Panel'!$B$1*I662))</f>
        <v>379.49999999999994</v>
      </c>
    </row>
    <row r="663" spans="1:10" x14ac:dyDescent="0.25">
      <c r="A663" s="5">
        <v>46662</v>
      </c>
      <c r="B663" s="7" t="s">
        <v>9</v>
      </c>
      <c r="C663" s="9" t="s">
        <v>20</v>
      </c>
      <c r="D663">
        <f>_xlfn.XLOOKUP(C663, 'Control Panel'!$B$4:$B$8,'Control Panel'!$C$4:$C$8,"0")</f>
        <v>1.1499999999999999</v>
      </c>
      <c r="E663">
        <f>_xlfn.XLOOKUP(B663, 'Control Panel'!$B$11:$B$17,'Control Panel'!$C$11:$C$17,"0")</f>
        <v>1.25</v>
      </c>
      <c r="G663" s="9" t="str">
        <f>_xlfn.XLOOKUP(F663, 'Control Panel'!$B$20:$B$26,'Control Panel'!$C$20:$C$26,"0")</f>
        <v>0</v>
      </c>
      <c r="H663">
        <v>0</v>
      </c>
      <c r="I663">
        <f t="shared" si="9"/>
        <v>1.4375</v>
      </c>
      <c r="J663">
        <f>MAX(300,SUM('Control Panel'!$B$1*I663))</f>
        <v>431.25</v>
      </c>
    </row>
    <row r="664" spans="1:10" x14ac:dyDescent="0.25">
      <c r="A664" s="5">
        <v>46663</v>
      </c>
      <c r="B664" s="7" t="s">
        <v>10</v>
      </c>
      <c r="C664" s="9" t="s">
        <v>20</v>
      </c>
      <c r="D664">
        <f>_xlfn.XLOOKUP(C664, 'Control Panel'!$B$4:$B$8,'Control Panel'!$C$4:$C$8,"0")</f>
        <v>1.1499999999999999</v>
      </c>
      <c r="E664">
        <f>_xlfn.XLOOKUP(B664, 'Control Panel'!$B$11:$B$17,'Control Panel'!$C$11:$C$17,"0")</f>
        <v>1.05</v>
      </c>
      <c r="G664" s="9" t="str">
        <f>_xlfn.XLOOKUP(F664, 'Control Panel'!$B$20:$B$26,'Control Panel'!$C$20:$C$26,"0")</f>
        <v>0</v>
      </c>
      <c r="H664">
        <v>0</v>
      </c>
      <c r="I664">
        <f t="shared" si="9"/>
        <v>1.2075</v>
      </c>
      <c r="J664">
        <f>MAX(300,SUM('Control Panel'!$B$1*I664))</f>
        <v>362.25</v>
      </c>
    </row>
    <row r="665" spans="1:10" x14ac:dyDescent="0.25">
      <c r="A665" s="5">
        <v>46664</v>
      </c>
      <c r="B665" s="7" t="s">
        <v>11</v>
      </c>
      <c r="C665" s="9" t="s">
        <v>20</v>
      </c>
      <c r="D665">
        <f>_xlfn.XLOOKUP(C665, 'Control Panel'!$B$4:$B$8,'Control Panel'!$C$4:$C$8,"0")</f>
        <v>1.1499999999999999</v>
      </c>
      <c r="E665">
        <f>_xlfn.XLOOKUP(B665, 'Control Panel'!$B$11:$B$17,'Control Panel'!$C$11:$C$17,"0")</f>
        <v>0.95</v>
      </c>
      <c r="G665" s="9" t="str">
        <f>_xlfn.XLOOKUP(F665, 'Control Panel'!$B$20:$B$26,'Control Panel'!$C$20:$C$26,"0")</f>
        <v>0</v>
      </c>
      <c r="H665">
        <v>0</v>
      </c>
      <c r="I665">
        <f t="shared" si="9"/>
        <v>1.0924999999999998</v>
      </c>
      <c r="J665">
        <f>MAX(300,SUM('Control Panel'!$B$1*I665))</f>
        <v>327.74999999999994</v>
      </c>
    </row>
    <row r="666" spans="1:10" x14ac:dyDescent="0.25">
      <c r="A666" s="5">
        <v>46665</v>
      </c>
      <c r="B666" s="7" t="s">
        <v>12</v>
      </c>
      <c r="C666" s="9" t="s">
        <v>20</v>
      </c>
      <c r="D666">
        <f>_xlfn.XLOOKUP(C666, 'Control Panel'!$B$4:$B$8,'Control Panel'!$C$4:$C$8,"0")</f>
        <v>1.1499999999999999</v>
      </c>
      <c r="E666">
        <f>_xlfn.XLOOKUP(B666, 'Control Panel'!$B$11:$B$17,'Control Panel'!$C$11:$C$17,"0")</f>
        <v>0.95</v>
      </c>
      <c r="G666" s="9" t="str">
        <f>_xlfn.XLOOKUP(F666, 'Control Panel'!$B$20:$B$26,'Control Panel'!$C$20:$C$26,"0")</f>
        <v>0</v>
      </c>
      <c r="H666">
        <v>0</v>
      </c>
      <c r="I666">
        <f t="shared" ref="I666:I731" si="10">(D666*E666)+G666+H666</f>
        <v>1.0924999999999998</v>
      </c>
      <c r="J666">
        <f>MAX(300,SUM('Control Panel'!$B$1*I666))</f>
        <v>327.74999999999994</v>
      </c>
    </row>
    <row r="667" spans="1:10" x14ac:dyDescent="0.25">
      <c r="A667" s="5">
        <v>46666</v>
      </c>
      <c r="B667" s="7" t="s">
        <v>13</v>
      </c>
      <c r="C667" s="9" t="s">
        <v>20</v>
      </c>
      <c r="D667">
        <f>_xlfn.XLOOKUP(C667, 'Control Panel'!$B$4:$B$8,'Control Panel'!$C$4:$C$8,"0")</f>
        <v>1.1499999999999999</v>
      </c>
      <c r="E667">
        <f>_xlfn.XLOOKUP(B667, 'Control Panel'!$B$11:$B$17,'Control Panel'!$C$11:$C$17,"0")</f>
        <v>0.95</v>
      </c>
      <c r="G667" s="9" t="str">
        <f>_xlfn.XLOOKUP(F667, 'Control Panel'!$B$20:$B$26,'Control Panel'!$C$20:$C$26,"0")</f>
        <v>0</v>
      </c>
      <c r="H667">
        <v>0</v>
      </c>
      <c r="I667">
        <f t="shared" si="10"/>
        <v>1.0924999999999998</v>
      </c>
      <c r="J667">
        <f>MAX(300,SUM('Control Panel'!$B$1*I667))</f>
        <v>327.74999999999994</v>
      </c>
    </row>
    <row r="668" spans="1:10" x14ac:dyDescent="0.25">
      <c r="A668" s="5">
        <v>46667</v>
      </c>
      <c r="B668" s="7" t="s">
        <v>5</v>
      </c>
      <c r="C668" s="9" t="s">
        <v>20</v>
      </c>
      <c r="D668">
        <f>_xlfn.XLOOKUP(C668, 'Control Panel'!$B$4:$B$8,'Control Panel'!$C$4:$C$8,"0")</f>
        <v>1.1499999999999999</v>
      </c>
      <c r="E668">
        <f>_xlfn.XLOOKUP(B668, 'Control Panel'!$B$11:$B$17,'Control Panel'!$C$11:$C$17,"0")</f>
        <v>0.95</v>
      </c>
      <c r="G668" s="9" t="str">
        <f>_xlfn.XLOOKUP(F668, 'Control Panel'!$B$20:$B$26,'Control Panel'!$C$20:$C$26,"0")</f>
        <v>0</v>
      </c>
      <c r="H668">
        <v>0</v>
      </c>
      <c r="I668">
        <f t="shared" si="10"/>
        <v>1.0924999999999998</v>
      </c>
      <c r="J668">
        <f>MAX(300,SUM('Control Panel'!$B$1*I668))</f>
        <v>327.74999999999994</v>
      </c>
    </row>
    <row r="669" spans="1:10" x14ac:dyDescent="0.25">
      <c r="A669" s="5">
        <v>46668</v>
      </c>
      <c r="B669" s="7" t="s">
        <v>8</v>
      </c>
      <c r="C669" s="9" t="s">
        <v>20</v>
      </c>
      <c r="D669">
        <f>_xlfn.XLOOKUP(C669, 'Control Panel'!$B$4:$B$8,'Control Panel'!$C$4:$C$8,"0")</f>
        <v>1.1499999999999999</v>
      </c>
      <c r="E669">
        <f>_xlfn.XLOOKUP(B669, 'Control Panel'!$B$11:$B$17,'Control Panel'!$C$11:$C$17,"0")</f>
        <v>1.1000000000000001</v>
      </c>
      <c r="G669" s="9" t="str">
        <f>_xlfn.XLOOKUP(F669, 'Control Panel'!$B$20:$B$26,'Control Panel'!$C$20:$C$26,"0")</f>
        <v>0</v>
      </c>
      <c r="H669">
        <v>0</v>
      </c>
      <c r="I669">
        <f t="shared" si="10"/>
        <v>1.2649999999999999</v>
      </c>
      <c r="J669">
        <f>MAX(300,SUM('Control Panel'!$B$1*I669))</f>
        <v>379.49999999999994</v>
      </c>
    </row>
    <row r="670" spans="1:10" x14ac:dyDescent="0.25">
      <c r="A670" s="5">
        <v>46669</v>
      </c>
      <c r="B670" s="7" t="s">
        <v>9</v>
      </c>
      <c r="C670" s="9" t="s">
        <v>20</v>
      </c>
      <c r="D670">
        <f>_xlfn.XLOOKUP(C670, 'Control Panel'!$B$4:$B$8,'Control Panel'!$C$4:$C$8,"0")</f>
        <v>1.1499999999999999</v>
      </c>
      <c r="E670">
        <f>_xlfn.XLOOKUP(B670, 'Control Panel'!$B$11:$B$17,'Control Panel'!$C$11:$C$17,"0")</f>
        <v>1.25</v>
      </c>
      <c r="G670" s="9" t="str">
        <f>_xlfn.XLOOKUP(F670, 'Control Panel'!$B$20:$B$26,'Control Panel'!$C$20:$C$26,"0")</f>
        <v>0</v>
      </c>
      <c r="H670">
        <v>0</v>
      </c>
      <c r="I670">
        <f t="shared" si="10"/>
        <v>1.4375</v>
      </c>
      <c r="J670">
        <f>MAX(300,SUM('Control Panel'!$B$1*I670))</f>
        <v>431.25</v>
      </c>
    </row>
    <row r="671" spans="1:10" x14ac:dyDescent="0.25">
      <c r="A671" s="5">
        <v>46670</v>
      </c>
      <c r="B671" s="7" t="s">
        <v>10</v>
      </c>
      <c r="C671" s="9" t="s">
        <v>20</v>
      </c>
      <c r="D671">
        <f>_xlfn.XLOOKUP(C671, 'Control Panel'!$B$4:$B$8,'Control Panel'!$C$4:$C$8,"0")</f>
        <v>1.1499999999999999</v>
      </c>
      <c r="E671">
        <f>_xlfn.XLOOKUP(B671, 'Control Panel'!$B$11:$B$17,'Control Panel'!$C$11:$C$17,"0")</f>
        <v>1.05</v>
      </c>
      <c r="G671" s="9" t="str">
        <f>_xlfn.XLOOKUP(F671, 'Control Panel'!$B$20:$B$26,'Control Panel'!$C$20:$C$26,"0")</f>
        <v>0</v>
      </c>
      <c r="H671">
        <v>0</v>
      </c>
      <c r="I671">
        <f t="shared" si="10"/>
        <v>1.2075</v>
      </c>
      <c r="J671">
        <f>MAX(300,SUM('Control Panel'!$B$1*I671))</f>
        <v>362.25</v>
      </c>
    </row>
    <row r="672" spans="1:10" x14ac:dyDescent="0.25">
      <c r="A672" s="5">
        <v>46671</v>
      </c>
      <c r="B672" s="7" t="s">
        <v>11</v>
      </c>
      <c r="C672" s="9" t="s">
        <v>20</v>
      </c>
      <c r="D672">
        <f>_xlfn.XLOOKUP(C672, 'Control Panel'!$B$4:$B$8,'Control Panel'!$C$4:$C$8,"0")</f>
        <v>1.1499999999999999</v>
      </c>
      <c r="E672">
        <f>_xlfn.XLOOKUP(B672, 'Control Panel'!$B$11:$B$17,'Control Panel'!$C$11:$C$17,"0")</f>
        <v>0.95</v>
      </c>
      <c r="F672" t="s">
        <v>22</v>
      </c>
      <c r="G672" s="9">
        <f>_xlfn.XLOOKUP(F672, 'Control Panel'!$B$20:$B$26,'Control Panel'!$C$20:$C$26,"0")</f>
        <v>0.25</v>
      </c>
      <c r="H672">
        <v>0</v>
      </c>
      <c r="I672">
        <f t="shared" si="10"/>
        <v>1.3424999999999998</v>
      </c>
      <c r="J672">
        <f>MAX(300,SUM('Control Panel'!$B$1*I672))</f>
        <v>402.74999999999994</v>
      </c>
    </row>
    <row r="673" spans="1:10" x14ac:dyDescent="0.25">
      <c r="A673" s="5">
        <v>46672</v>
      </c>
      <c r="B673" s="7" t="s">
        <v>12</v>
      </c>
      <c r="C673" s="9" t="s">
        <v>20</v>
      </c>
      <c r="D673">
        <f>_xlfn.XLOOKUP(C673, 'Control Panel'!$B$4:$B$8,'Control Panel'!$C$4:$C$8,"0")</f>
        <v>1.1499999999999999</v>
      </c>
      <c r="E673">
        <f>_xlfn.XLOOKUP(B673, 'Control Panel'!$B$11:$B$17,'Control Panel'!$C$11:$C$17,"0")</f>
        <v>0.95</v>
      </c>
      <c r="G673" s="9" t="str">
        <f>_xlfn.XLOOKUP(F673, 'Control Panel'!$B$20:$B$26,'Control Panel'!$C$20:$C$26,"0")</f>
        <v>0</v>
      </c>
      <c r="H673">
        <v>0</v>
      </c>
      <c r="I673">
        <f t="shared" si="10"/>
        <v>1.0924999999999998</v>
      </c>
      <c r="J673">
        <f>MAX(300,SUM('Control Panel'!$B$1*I673))</f>
        <v>327.74999999999994</v>
      </c>
    </row>
    <row r="674" spans="1:10" x14ac:dyDescent="0.25">
      <c r="A674" s="5">
        <v>46673</v>
      </c>
      <c r="B674" s="7" t="s">
        <v>13</v>
      </c>
      <c r="C674" s="9" t="s">
        <v>20</v>
      </c>
      <c r="D674">
        <f>_xlfn.XLOOKUP(C674, 'Control Panel'!$B$4:$B$8,'Control Panel'!$C$4:$C$8,"0")</f>
        <v>1.1499999999999999</v>
      </c>
      <c r="E674">
        <f>_xlfn.XLOOKUP(B674, 'Control Panel'!$B$11:$B$17,'Control Panel'!$C$11:$C$17,"0")</f>
        <v>0.95</v>
      </c>
      <c r="G674" s="9" t="str">
        <f>_xlfn.XLOOKUP(F674, 'Control Panel'!$B$20:$B$26,'Control Panel'!$C$20:$C$26,"0")</f>
        <v>0</v>
      </c>
      <c r="H674">
        <v>0</v>
      </c>
      <c r="I674">
        <f t="shared" si="10"/>
        <v>1.0924999999999998</v>
      </c>
      <c r="J674">
        <f>MAX(300,SUM('Control Panel'!$B$1*I674))</f>
        <v>327.74999999999994</v>
      </c>
    </row>
    <row r="675" spans="1:10" x14ac:dyDescent="0.25">
      <c r="A675" s="5">
        <v>46674</v>
      </c>
      <c r="B675" s="7" t="s">
        <v>5</v>
      </c>
      <c r="C675" s="9" t="s">
        <v>20</v>
      </c>
      <c r="D675">
        <f>_xlfn.XLOOKUP(C675, 'Control Panel'!$B$4:$B$8,'Control Panel'!$C$4:$C$8,"0")</f>
        <v>1.1499999999999999</v>
      </c>
      <c r="E675">
        <f>_xlfn.XLOOKUP(B675, 'Control Panel'!$B$11:$B$17,'Control Panel'!$C$11:$C$17,"0")</f>
        <v>0.95</v>
      </c>
      <c r="G675" s="9" t="str">
        <f>_xlfn.XLOOKUP(F675, 'Control Panel'!$B$20:$B$26,'Control Panel'!$C$20:$C$26,"0")</f>
        <v>0</v>
      </c>
      <c r="H675">
        <v>0</v>
      </c>
      <c r="I675">
        <f t="shared" si="10"/>
        <v>1.0924999999999998</v>
      </c>
      <c r="J675">
        <f>MAX(300,SUM('Control Panel'!$B$1*I675))</f>
        <v>327.74999999999994</v>
      </c>
    </row>
    <row r="676" spans="1:10" x14ac:dyDescent="0.25">
      <c r="A676" s="5">
        <v>46675</v>
      </c>
      <c r="B676" s="7" t="s">
        <v>8</v>
      </c>
      <c r="C676" s="9" t="s">
        <v>20</v>
      </c>
      <c r="D676">
        <f>_xlfn.XLOOKUP(C676, 'Control Panel'!$B$4:$B$8,'Control Panel'!$C$4:$C$8,"0")</f>
        <v>1.1499999999999999</v>
      </c>
      <c r="E676">
        <f>_xlfn.XLOOKUP(B676, 'Control Panel'!$B$11:$B$17,'Control Panel'!$C$11:$C$17,"0")</f>
        <v>1.1000000000000001</v>
      </c>
      <c r="G676" s="9" t="str">
        <f>_xlfn.XLOOKUP(F676, 'Control Panel'!$B$20:$B$26,'Control Panel'!$C$20:$C$26,"0")</f>
        <v>0</v>
      </c>
      <c r="H676">
        <v>0</v>
      </c>
      <c r="I676">
        <f t="shared" si="10"/>
        <v>1.2649999999999999</v>
      </c>
      <c r="J676">
        <f>MAX(300,SUM('Control Panel'!$B$1*I676))</f>
        <v>379.49999999999994</v>
      </c>
    </row>
    <row r="677" spans="1:10" x14ac:dyDescent="0.25">
      <c r="A677" s="5">
        <v>46676</v>
      </c>
      <c r="B677" s="7" t="s">
        <v>9</v>
      </c>
      <c r="C677" s="9" t="s">
        <v>20</v>
      </c>
      <c r="D677">
        <f>_xlfn.XLOOKUP(C677, 'Control Panel'!$B$4:$B$8,'Control Panel'!$C$4:$C$8,"0")</f>
        <v>1.1499999999999999</v>
      </c>
      <c r="E677">
        <f>_xlfn.XLOOKUP(B677, 'Control Panel'!$B$11:$B$17,'Control Panel'!$C$11:$C$17,"0")</f>
        <v>1.25</v>
      </c>
      <c r="G677" s="9" t="str">
        <f>_xlfn.XLOOKUP(F677, 'Control Panel'!$B$20:$B$26,'Control Panel'!$C$20:$C$26,"0")</f>
        <v>0</v>
      </c>
      <c r="H677">
        <v>0</v>
      </c>
      <c r="I677">
        <f t="shared" si="10"/>
        <v>1.4375</v>
      </c>
      <c r="J677">
        <f>MAX(300,SUM('Control Panel'!$B$1*I677))</f>
        <v>431.25</v>
      </c>
    </row>
    <row r="678" spans="1:10" x14ac:dyDescent="0.25">
      <c r="A678" s="5">
        <v>46677</v>
      </c>
      <c r="B678" s="7" t="s">
        <v>10</v>
      </c>
      <c r="C678" s="9" t="s">
        <v>20</v>
      </c>
      <c r="D678">
        <f>_xlfn.XLOOKUP(C678, 'Control Panel'!$B$4:$B$8,'Control Panel'!$C$4:$C$8,"0")</f>
        <v>1.1499999999999999</v>
      </c>
      <c r="E678">
        <f>_xlfn.XLOOKUP(B678, 'Control Panel'!$B$11:$B$17,'Control Panel'!$C$11:$C$17,"0")</f>
        <v>1.05</v>
      </c>
      <c r="G678" s="9" t="str">
        <f>_xlfn.XLOOKUP(F678, 'Control Panel'!$B$20:$B$26,'Control Panel'!$C$20:$C$26,"0")</f>
        <v>0</v>
      </c>
      <c r="H678">
        <v>0</v>
      </c>
      <c r="I678">
        <f t="shared" si="10"/>
        <v>1.2075</v>
      </c>
      <c r="J678">
        <f>MAX(300,SUM('Control Panel'!$B$1*I678))</f>
        <v>362.25</v>
      </c>
    </row>
    <row r="679" spans="1:10" x14ac:dyDescent="0.25">
      <c r="A679" s="5">
        <v>46678</v>
      </c>
      <c r="B679" s="7" t="s">
        <v>11</v>
      </c>
      <c r="C679" s="9" t="s">
        <v>20</v>
      </c>
      <c r="D679">
        <f>_xlfn.XLOOKUP(C679, 'Control Panel'!$B$4:$B$8,'Control Panel'!$C$4:$C$8,"0")</f>
        <v>1.1499999999999999</v>
      </c>
      <c r="E679">
        <f>_xlfn.XLOOKUP(B679, 'Control Panel'!$B$11:$B$17,'Control Panel'!$C$11:$C$17,"0")</f>
        <v>0.95</v>
      </c>
      <c r="G679" s="9" t="str">
        <f>_xlfn.XLOOKUP(F679, 'Control Panel'!$B$20:$B$26,'Control Panel'!$C$20:$C$26,"0")</f>
        <v>0</v>
      </c>
      <c r="H679">
        <v>0</v>
      </c>
      <c r="I679">
        <f t="shared" si="10"/>
        <v>1.0924999999999998</v>
      </c>
      <c r="J679">
        <f>MAX(300,SUM('Control Panel'!$B$1*I679))</f>
        <v>327.74999999999994</v>
      </c>
    </row>
    <row r="680" spans="1:10" x14ac:dyDescent="0.25">
      <c r="A680" s="5">
        <v>46679</v>
      </c>
      <c r="B680" s="7" t="s">
        <v>12</v>
      </c>
      <c r="C680" s="9" t="s">
        <v>20</v>
      </c>
      <c r="D680">
        <f>_xlfn.XLOOKUP(C680, 'Control Panel'!$B$4:$B$8,'Control Panel'!$C$4:$C$8,"0")</f>
        <v>1.1499999999999999</v>
      </c>
      <c r="E680">
        <f>_xlfn.XLOOKUP(B680, 'Control Panel'!$B$11:$B$17,'Control Panel'!$C$11:$C$17,"0")</f>
        <v>0.95</v>
      </c>
      <c r="G680" s="9" t="str">
        <f>_xlfn.XLOOKUP(F680, 'Control Panel'!$B$20:$B$26,'Control Panel'!$C$20:$C$26,"0")</f>
        <v>0</v>
      </c>
      <c r="H680">
        <v>0</v>
      </c>
      <c r="I680">
        <f t="shared" si="10"/>
        <v>1.0924999999999998</v>
      </c>
      <c r="J680">
        <f>MAX(300,SUM('Control Panel'!$B$1*I680))</f>
        <v>327.74999999999994</v>
      </c>
    </row>
    <row r="681" spans="1:10" x14ac:dyDescent="0.25">
      <c r="A681" s="5">
        <v>46680</v>
      </c>
      <c r="B681" s="7" t="s">
        <v>13</v>
      </c>
      <c r="C681" s="9" t="s">
        <v>20</v>
      </c>
      <c r="D681">
        <f>_xlfn.XLOOKUP(C681, 'Control Panel'!$B$4:$B$8,'Control Panel'!$C$4:$C$8,"0")</f>
        <v>1.1499999999999999</v>
      </c>
      <c r="E681">
        <f>_xlfn.XLOOKUP(B681, 'Control Panel'!$B$11:$B$17,'Control Panel'!$C$11:$C$17,"0")</f>
        <v>0.95</v>
      </c>
      <c r="G681" s="9" t="str">
        <f>_xlfn.XLOOKUP(F681, 'Control Panel'!$B$20:$B$26,'Control Panel'!$C$20:$C$26,"0")</f>
        <v>0</v>
      </c>
      <c r="H681">
        <v>0</v>
      </c>
      <c r="I681">
        <f t="shared" si="10"/>
        <v>1.0924999999999998</v>
      </c>
      <c r="J681">
        <f>MAX(300,SUM('Control Panel'!$B$1*I681))</f>
        <v>327.74999999999994</v>
      </c>
    </row>
    <row r="682" spans="1:10" x14ac:dyDescent="0.25">
      <c r="A682" s="5">
        <v>46681</v>
      </c>
      <c r="B682" s="7" t="s">
        <v>5</v>
      </c>
      <c r="C682" s="9" t="s">
        <v>20</v>
      </c>
      <c r="D682">
        <f>_xlfn.XLOOKUP(C682, 'Control Panel'!$B$4:$B$8,'Control Panel'!$C$4:$C$8,"0")</f>
        <v>1.1499999999999999</v>
      </c>
      <c r="E682">
        <f>_xlfn.XLOOKUP(B682, 'Control Panel'!$B$11:$B$17,'Control Panel'!$C$11:$C$17,"0")</f>
        <v>0.95</v>
      </c>
      <c r="G682" s="9" t="str">
        <f>_xlfn.XLOOKUP(F682, 'Control Panel'!$B$20:$B$26,'Control Panel'!$C$20:$C$26,"0")</f>
        <v>0</v>
      </c>
      <c r="H682">
        <v>0</v>
      </c>
      <c r="I682">
        <f t="shared" si="10"/>
        <v>1.0924999999999998</v>
      </c>
      <c r="J682">
        <f>MAX(300,SUM('Control Panel'!$B$1*I682))</f>
        <v>327.74999999999994</v>
      </c>
    </row>
    <row r="683" spans="1:10" x14ac:dyDescent="0.25">
      <c r="A683" s="5">
        <v>46682</v>
      </c>
      <c r="B683" s="7" t="s">
        <v>8</v>
      </c>
      <c r="C683" s="9" t="s">
        <v>20</v>
      </c>
      <c r="D683">
        <f>_xlfn.XLOOKUP(C683, 'Control Panel'!$B$4:$B$8,'Control Panel'!$C$4:$C$8,"0")</f>
        <v>1.1499999999999999</v>
      </c>
      <c r="E683">
        <f>_xlfn.XLOOKUP(B683, 'Control Panel'!$B$11:$B$17,'Control Panel'!$C$11:$C$17,"0")</f>
        <v>1.1000000000000001</v>
      </c>
      <c r="G683" s="9" t="str">
        <f>_xlfn.XLOOKUP(F683, 'Control Panel'!$B$20:$B$26,'Control Panel'!$C$20:$C$26,"0")</f>
        <v>0</v>
      </c>
      <c r="H683">
        <v>0</v>
      </c>
      <c r="I683">
        <f t="shared" si="10"/>
        <v>1.2649999999999999</v>
      </c>
      <c r="J683">
        <f>MAX(300,SUM('Control Panel'!$B$1*I683))</f>
        <v>379.49999999999994</v>
      </c>
    </row>
    <row r="684" spans="1:10" x14ac:dyDescent="0.25">
      <c r="A684" s="5">
        <v>46683</v>
      </c>
      <c r="B684" s="7" t="s">
        <v>9</v>
      </c>
      <c r="C684" s="9" t="s">
        <v>20</v>
      </c>
      <c r="D684">
        <f>_xlfn.XLOOKUP(C684, 'Control Panel'!$B$4:$B$8,'Control Panel'!$C$4:$C$8,"0")</f>
        <v>1.1499999999999999</v>
      </c>
      <c r="E684">
        <f>_xlfn.XLOOKUP(B684, 'Control Panel'!$B$11:$B$17,'Control Panel'!$C$11:$C$17,"0")</f>
        <v>1.25</v>
      </c>
      <c r="G684" s="9" t="str">
        <f>_xlfn.XLOOKUP(F684, 'Control Panel'!$B$20:$B$26,'Control Panel'!$C$20:$C$26,"0")</f>
        <v>0</v>
      </c>
      <c r="H684">
        <v>0</v>
      </c>
      <c r="I684">
        <f t="shared" si="10"/>
        <v>1.4375</v>
      </c>
      <c r="J684">
        <f>MAX(300,SUM('Control Panel'!$B$1*I684))</f>
        <v>431.25</v>
      </c>
    </row>
    <row r="685" spans="1:10" x14ac:dyDescent="0.25">
      <c r="A685" s="5">
        <v>46684</v>
      </c>
      <c r="B685" s="7" t="s">
        <v>10</v>
      </c>
      <c r="C685" s="9" t="s">
        <v>20</v>
      </c>
      <c r="D685">
        <f>_xlfn.XLOOKUP(C685, 'Control Panel'!$B$4:$B$8,'Control Panel'!$C$4:$C$8,"0")</f>
        <v>1.1499999999999999</v>
      </c>
      <c r="E685">
        <f>_xlfn.XLOOKUP(B685, 'Control Panel'!$B$11:$B$17,'Control Panel'!$C$11:$C$17,"0")</f>
        <v>1.05</v>
      </c>
      <c r="G685" s="9" t="str">
        <f>_xlfn.XLOOKUP(F685, 'Control Panel'!$B$20:$B$26,'Control Panel'!$C$20:$C$26,"0")</f>
        <v>0</v>
      </c>
      <c r="H685">
        <v>0</v>
      </c>
      <c r="I685">
        <f t="shared" si="10"/>
        <v>1.2075</v>
      </c>
      <c r="J685">
        <f>MAX(300,SUM('Control Panel'!$B$1*I685))</f>
        <v>362.25</v>
      </c>
    </row>
    <row r="686" spans="1:10" x14ac:dyDescent="0.25">
      <c r="A686" s="5">
        <v>46685</v>
      </c>
      <c r="B686" s="7" t="s">
        <v>11</v>
      </c>
      <c r="C686" s="9" t="s">
        <v>20</v>
      </c>
      <c r="D686">
        <f>_xlfn.XLOOKUP(C686, 'Control Panel'!$B$4:$B$8,'Control Panel'!$C$4:$C$8,"0")</f>
        <v>1.1499999999999999</v>
      </c>
      <c r="E686">
        <f>_xlfn.XLOOKUP(B686, 'Control Panel'!$B$11:$B$17,'Control Panel'!$C$11:$C$17,"0")</f>
        <v>0.95</v>
      </c>
      <c r="G686" s="9" t="str">
        <f>_xlfn.XLOOKUP(F686, 'Control Panel'!$B$20:$B$26,'Control Panel'!$C$20:$C$26,"0")</f>
        <v>0</v>
      </c>
      <c r="H686">
        <v>0</v>
      </c>
      <c r="I686">
        <f t="shared" si="10"/>
        <v>1.0924999999999998</v>
      </c>
      <c r="J686">
        <f>MAX(300,SUM('Control Panel'!$B$1*I686))</f>
        <v>327.74999999999994</v>
      </c>
    </row>
    <row r="687" spans="1:10" x14ac:dyDescent="0.25">
      <c r="A687" s="5">
        <v>46686</v>
      </c>
      <c r="B687" s="7" t="s">
        <v>12</v>
      </c>
      <c r="C687" s="9" t="s">
        <v>20</v>
      </c>
      <c r="D687">
        <f>_xlfn.XLOOKUP(C687, 'Control Panel'!$B$4:$B$8,'Control Panel'!$C$4:$C$8,"0")</f>
        <v>1.1499999999999999</v>
      </c>
      <c r="E687">
        <f>_xlfn.XLOOKUP(B687, 'Control Panel'!$B$11:$B$17,'Control Panel'!$C$11:$C$17,"0")</f>
        <v>0.95</v>
      </c>
      <c r="G687" s="9" t="str">
        <f>_xlfn.XLOOKUP(F687, 'Control Panel'!$B$20:$B$26,'Control Panel'!$C$20:$C$26,"0")</f>
        <v>0</v>
      </c>
      <c r="H687">
        <v>0</v>
      </c>
      <c r="I687">
        <f t="shared" si="10"/>
        <v>1.0924999999999998</v>
      </c>
      <c r="J687">
        <f>MAX(300,SUM('Control Panel'!$B$1*I687))</f>
        <v>327.74999999999994</v>
      </c>
    </row>
    <row r="688" spans="1:10" x14ac:dyDescent="0.25">
      <c r="A688" s="5">
        <v>46687</v>
      </c>
      <c r="B688" s="7" t="s">
        <v>13</v>
      </c>
      <c r="C688" s="9" t="s">
        <v>20</v>
      </c>
      <c r="D688">
        <f>_xlfn.XLOOKUP(C688, 'Control Panel'!$B$4:$B$8,'Control Panel'!$C$4:$C$8,"0")</f>
        <v>1.1499999999999999</v>
      </c>
      <c r="E688">
        <f>_xlfn.XLOOKUP(B688, 'Control Panel'!$B$11:$B$17,'Control Panel'!$C$11:$C$17,"0")</f>
        <v>0.95</v>
      </c>
      <c r="G688" s="9" t="str">
        <f>_xlfn.XLOOKUP(F688, 'Control Panel'!$B$20:$B$26,'Control Panel'!$C$20:$C$26,"0")</f>
        <v>0</v>
      </c>
      <c r="H688">
        <v>0</v>
      </c>
      <c r="I688">
        <f t="shared" si="10"/>
        <v>1.0924999999999998</v>
      </c>
      <c r="J688">
        <f>MAX(300,SUM('Control Panel'!$B$1*I688))</f>
        <v>327.74999999999994</v>
      </c>
    </row>
    <row r="689" spans="1:10" x14ac:dyDescent="0.25">
      <c r="A689" s="5">
        <v>46688</v>
      </c>
      <c r="B689" s="7" t="s">
        <v>5</v>
      </c>
      <c r="C689" s="9" t="s">
        <v>20</v>
      </c>
      <c r="D689">
        <f>_xlfn.XLOOKUP(C689, 'Control Panel'!$B$4:$B$8,'Control Panel'!$C$4:$C$8,"0")</f>
        <v>1.1499999999999999</v>
      </c>
      <c r="E689">
        <f>_xlfn.XLOOKUP(B689, 'Control Panel'!$B$11:$B$17,'Control Panel'!$C$11:$C$17,"0")</f>
        <v>0.95</v>
      </c>
      <c r="G689" s="9" t="str">
        <f>_xlfn.XLOOKUP(F689, 'Control Panel'!$B$20:$B$26,'Control Panel'!$C$20:$C$26,"0")</f>
        <v>0</v>
      </c>
      <c r="H689">
        <v>0</v>
      </c>
      <c r="I689">
        <f t="shared" si="10"/>
        <v>1.0924999999999998</v>
      </c>
      <c r="J689">
        <f>MAX(300,SUM('Control Panel'!$B$1*I689))</f>
        <v>327.74999999999994</v>
      </c>
    </row>
    <row r="690" spans="1:10" x14ac:dyDescent="0.25">
      <c r="A690" s="5">
        <v>46689</v>
      </c>
      <c r="B690" s="7" t="s">
        <v>8</v>
      </c>
      <c r="C690" s="9" t="s">
        <v>20</v>
      </c>
      <c r="D690">
        <f>_xlfn.XLOOKUP(C690, 'Control Panel'!$B$4:$B$8,'Control Panel'!$C$4:$C$8,"0")</f>
        <v>1.1499999999999999</v>
      </c>
      <c r="E690">
        <f>_xlfn.XLOOKUP(B690, 'Control Panel'!$B$11:$B$17,'Control Panel'!$C$11:$C$17,"0")</f>
        <v>1.1000000000000001</v>
      </c>
      <c r="G690" s="9" t="str">
        <f>_xlfn.XLOOKUP(F690, 'Control Panel'!$B$20:$B$26,'Control Panel'!$C$20:$C$26,"0")</f>
        <v>0</v>
      </c>
      <c r="H690">
        <v>0</v>
      </c>
      <c r="I690">
        <f t="shared" si="10"/>
        <v>1.2649999999999999</v>
      </c>
      <c r="J690">
        <f>MAX(300,SUM('Control Panel'!$B$1*I690))</f>
        <v>379.49999999999994</v>
      </c>
    </row>
    <row r="691" spans="1:10" x14ac:dyDescent="0.25">
      <c r="A691" s="5">
        <v>46690</v>
      </c>
      <c r="B691" s="7" t="s">
        <v>9</v>
      </c>
      <c r="C691" s="9" t="s">
        <v>20</v>
      </c>
      <c r="D691">
        <f>_xlfn.XLOOKUP(C691, 'Control Panel'!$B$4:$B$8,'Control Panel'!$C$4:$C$8,"0")</f>
        <v>1.1499999999999999</v>
      </c>
      <c r="E691">
        <f>_xlfn.XLOOKUP(B691, 'Control Panel'!$B$11:$B$17,'Control Panel'!$C$11:$C$17,"0")</f>
        <v>1.25</v>
      </c>
      <c r="G691" s="9" t="str">
        <f>_xlfn.XLOOKUP(F691, 'Control Panel'!$B$20:$B$26,'Control Panel'!$C$20:$C$26,"0")</f>
        <v>0</v>
      </c>
      <c r="H691">
        <v>0</v>
      </c>
      <c r="I691">
        <f t="shared" si="10"/>
        <v>1.4375</v>
      </c>
      <c r="J691">
        <f>MAX(300,SUM('Control Panel'!$B$1*I691))</f>
        <v>431.25</v>
      </c>
    </row>
    <row r="692" spans="1:10" x14ac:dyDescent="0.25">
      <c r="A692" s="5">
        <v>46691</v>
      </c>
      <c r="B692" s="7" t="s">
        <v>10</v>
      </c>
      <c r="C692" s="9" t="s">
        <v>20</v>
      </c>
      <c r="D692">
        <f>_xlfn.XLOOKUP(C692, 'Control Panel'!$B$4:$B$8,'Control Panel'!$C$4:$C$8,"0")</f>
        <v>1.1499999999999999</v>
      </c>
      <c r="E692">
        <f>_xlfn.XLOOKUP(B692, 'Control Panel'!$B$11:$B$17,'Control Panel'!$C$11:$C$17,"0")</f>
        <v>1.05</v>
      </c>
      <c r="G692" s="9" t="str">
        <f>_xlfn.XLOOKUP(F692, 'Control Panel'!$B$20:$B$26,'Control Panel'!$C$20:$C$26,"0")</f>
        <v>0</v>
      </c>
      <c r="H692">
        <v>0</v>
      </c>
      <c r="I692">
        <f t="shared" si="10"/>
        <v>1.2075</v>
      </c>
      <c r="J692">
        <f>MAX(300,SUM('Control Panel'!$B$1*I692))</f>
        <v>362.25</v>
      </c>
    </row>
    <row r="693" spans="1:10" x14ac:dyDescent="0.25">
      <c r="A693" s="10" t="s">
        <v>42</v>
      </c>
      <c r="B693" s="13"/>
      <c r="C693" s="14"/>
      <c r="G693" s="9" t="str">
        <f>_xlfn.XLOOKUP(F693, 'Control Panel'!$B$20:$B$26,'Control Panel'!$C$20:$C$26,"0")</f>
        <v>0</v>
      </c>
    </row>
    <row r="694" spans="1:10" x14ac:dyDescent="0.25">
      <c r="A694" s="5">
        <v>46692</v>
      </c>
      <c r="B694" s="7" t="s">
        <v>11</v>
      </c>
      <c r="C694" s="9" t="s">
        <v>14</v>
      </c>
      <c r="D694">
        <f>_xlfn.XLOOKUP(C694, 'Control Panel'!$B$4:$B$8,'Control Panel'!$C$4:$C$8,"0")</f>
        <v>0.85</v>
      </c>
      <c r="E694">
        <f>_xlfn.XLOOKUP(B694, 'Control Panel'!$B$11:$B$17,'Control Panel'!$C$11:$C$17,"0")</f>
        <v>0.95</v>
      </c>
      <c r="G694" s="9" t="str">
        <f>_xlfn.XLOOKUP(F694, 'Control Panel'!$B$20:$B$26,'Control Panel'!$C$20:$C$26,"0")</f>
        <v>0</v>
      </c>
      <c r="H694">
        <v>0</v>
      </c>
      <c r="I694">
        <f t="shared" si="10"/>
        <v>0.8075</v>
      </c>
      <c r="J694">
        <f>MAX(300,SUM('Control Panel'!$B$1*I694))</f>
        <v>300</v>
      </c>
    </row>
    <row r="695" spans="1:10" x14ac:dyDescent="0.25">
      <c r="A695" s="5">
        <v>46693</v>
      </c>
      <c r="B695" s="7" t="s">
        <v>12</v>
      </c>
      <c r="C695" s="9" t="s">
        <v>14</v>
      </c>
      <c r="D695">
        <f>_xlfn.XLOOKUP(C695, 'Control Panel'!$B$4:$B$8,'Control Panel'!$C$4:$C$8,"0")</f>
        <v>0.85</v>
      </c>
      <c r="E695">
        <f>_xlfn.XLOOKUP(B695, 'Control Panel'!$B$11:$B$17,'Control Panel'!$C$11:$C$17,"0")</f>
        <v>0.95</v>
      </c>
      <c r="G695" s="9" t="str">
        <f>_xlfn.XLOOKUP(F695, 'Control Panel'!$B$20:$B$26,'Control Panel'!$C$20:$C$26,"0")</f>
        <v>0</v>
      </c>
      <c r="H695">
        <v>0</v>
      </c>
      <c r="I695">
        <f t="shared" si="10"/>
        <v>0.8075</v>
      </c>
      <c r="J695">
        <f>MAX(300,SUM('Control Panel'!$B$1*I695))</f>
        <v>300</v>
      </c>
    </row>
    <row r="696" spans="1:10" x14ac:dyDescent="0.25">
      <c r="A696" s="5">
        <v>46694</v>
      </c>
      <c r="B696" s="7" t="s">
        <v>13</v>
      </c>
      <c r="C696" s="9" t="s">
        <v>14</v>
      </c>
      <c r="D696">
        <f>_xlfn.XLOOKUP(C696, 'Control Panel'!$B$4:$B$8,'Control Panel'!$C$4:$C$8,"0")</f>
        <v>0.85</v>
      </c>
      <c r="E696">
        <f>_xlfn.XLOOKUP(B696, 'Control Panel'!$B$11:$B$17,'Control Panel'!$C$11:$C$17,"0")</f>
        <v>0.95</v>
      </c>
      <c r="G696" s="9" t="str">
        <f>_xlfn.XLOOKUP(F696, 'Control Panel'!$B$20:$B$26,'Control Panel'!$C$20:$C$26,"0")</f>
        <v>0</v>
      </c>
      <c r="H696">
        <v>0</v>
      </c>
      <c r="I696">
        <f t="shared" si="10"/>
        <v>0.8075</v>
      </c>
      <c r="J696">
        <f>MAX(300,SUM('Control Panel'!$B$1*I696))</f>
        <v>300</v>
      </c>
    </row>
    <row r="697" spans="1:10" x14ac:dyDescent="0.25">
      <c r="A697" s="5">
        <v>46695</v>
      </c>
      <c r="B697" s="7" t="s">
        <v>5</v>
      </c>
      <c r="C697" s="9" t="s">
        <v>14</v>
      </c>
      <c r="D697">
        <f>_xlfn.XLOOKUP(C697, 'Control Panel'!$B$4:$B$8,'Control Panel'!$C$4:$C$8,"0")</f>
        <v>0.85</v>
      </c>
      <c r="E697">
        <f>_xlfn.XLOOKUP(B697, 'Control Panel'!$B$11:$B$17,'Control Panel'!$C$11:$C$17,"0")</f>
        <v>0.95</v>
      </c>
      <c r="G697" s="9" t="str">
        <f>_xlfn.XLOOKUP(F697, 'Control Panel'!$B$20:$B$26,'Control Panel'!$C$20:$C$26,"0")</f>
        <v>0</v>
      </c>
      <c r="H697">
        <v>0</v>
      </c>
      <c r="I697">
        <f t="shared" si="10"/>
        <v>0.8075</v>
      </c>
      <c r="J697">
        <f>MAX(300,SUM('Control Panel'!$B$1*I697))</f>
        <v>300</v>
      </c>
    </row>
    <row r="698" spans="1:10" x14ac:dyDescent="0.25">
      <c r="A698" s="5">
        <v>46696</v>
      </c>
      <c r="B698" s="7" t="s">
        <v>8</v>
      </c>
      <c r="C698" s="9" t="s">
        <v>14</v>
      </c>
      <c r="D698">
        <f>_xlfn.XLOOKUP(C698, 'Control Panel'!$B$4:$B$8,'Control Panel'!$C$4:$C$8,"0")</f>
        <v>0.85</v>
      </c>
      <c r="E698">
        <f>_xlfn.XLOOKUP(B698, 'Control Panel'!$B$11:$B$17,'Control Panel'!$C$11:$C$17,"0")</f>
        <v>1.1000000000000001</v>
      </c>
      <c r="G698" s="9" t="str">
        <f>_xlfn.XLOOKUP(F698, 'Control Panel'!$B$20:$B$26,'Control Panel'!$C$20:$C$26,"0")</f>
        <v>0</v>
      </c>
      <c r="H698">
        <v>0</v>
      </c>
      <c r="I698">
        <f t="shared" si="10"/>
        <v>0.93500000000000005</v>
      </c>
      <c r="J698">
        <f>MAX(300,SUM('Control Panel'!$B$1*I698))</f>
        <v>300</v>
      </c>
    </row>
    <row r="699" spans="1:10" x14ac:dyDescent="0.25">
      <c r="A699" s="5">
        <v>46697</v>
      </c>
      <c r="B699" s="7" t="s">
        <v>9</v>
      </c>
      <c r="C699" s="9" t="s">
        <v>14</v>
      </c>
      <c r="D699">
        <f>_xlfn.XLOOKUP(C699, 'Control Panel'!$B$4:$B$8,'Control Panel'!$C$4:$C$8,"0")</f>
        <v>0.85</v>
      </c>
      <c r="E699">
        <f>_xlfn.XLOOKUP(B699, 'Control Panel'!$B$11:$B$17,'Control Panel'!$C$11:$C$17,"0")</f>
        <v>1.25</v>
      </c>
      <c r="G699" s="9" t="str">
        <f>_xlfn.XLOOKUP(F699, 'Control Panel'!$B$20:$B$26,'Control Panel'!$C$20:$C$26,"0")</f>
        <v>0</v>
      </c>
      <c r="H699">
        <v>0</v>
      </c>
      <c r="I699">
        <f t="shared" si="10"/>
        <v>1.0625</v>
      </c>
      <c r="J699">
        <f>MAX(300,SUM('Control Panel'!$B$1*I699))</f>
        <v>318.75</v>
      </c>
    </row>
    <row r="700" spans="1:10" x14ac:dyDescent="0.25">
      <c r="A700" s="5">
        <v>46698</v>
      </c>
      <c r="B700" s="7" t="s">
        <v>10</v>
      </c>
      <c r="C700" s="9" t="s">
        <v>14</v>
      </c>
      <c r="D700">
        <f>_xlfn.XLOOKUP(C700, 'Control Panel'!$B$4:$B$8,'Control Panel'!$C$4:$C$8,"0")</f>
        <v>0.85</v>
      </c>
      <c r="E700">
        <f>_xlfn.XLOOKUP(B700, 'Control Panel'!$B$11:$B$17,'Control Panel'!$C$11:$C$17,"0")</f>
        <v>1.05</v>
      </c>
      <c r="G700" s="9" t="str">
        <f>_xlfn.XLOOKUP(F700, 'Control Panel'!$B$20:$B$26,'Control Panel'!$C$20:$C$26,"0")</f>
        <v>0</v>
      </c>
      <c r="H700">
        <v>0</v>
      </c>
      <c r="I700">
        <f t="shared" si="10"/>
        <v>0.89249999999999996</v>
      </c>
      <c r="J700">
        <f>MAX(300,SUM('Control Panel'!$B$1*I700))</f>
        <v>300</v>
      </c>
    </row>
    <row r="701" spans="1:10" x14ac:dyDescent="0.25">
      <c r="A701" s="5">
        <v>46699</v>
      </c>
      <c r="B701" s="7" t="s">
        <v>11</v>
      </c>
      <c r="C701" s="9" t="s">
        <v>14</v>
      </c>
      <c r="D701">
        <f>_xlfn.XLOOKUP(C701, 'Control Panel'!$B$4:$B$8,'Control Panel'!$C$4:$C$8,"0")</f>
        <v>0.85</v>
      </c>
      <c r="E701">
        <f>_xlfn.XLOOKUP(B701, 'Control Panel'!$B$11:$B$17,'Control Panel'!$C$11:$C$17,"0")</f>
        <v>0.95</v>
      </c>
      <c r="G701" s="9" t="str">
        <f>_xlfn.XLOOKUP(F701, 'Control Panel'!$B$20:$B$26,'Control Panel'!$C$20:$C$26,"0")</f>
        <v>0</v>
      </c>
      <c r="H701">
        <v>0</v>
      </c>
      <c r="I701">
        <f t="shared" si="10"/>
        <v>0.8075</v>
      </c>
      <c r="J701">
        <f>MAX(300,SUM('Control Panel'!$B$1*I701))</f>
        <v>300</v>
      </c>
    </row>
    <row r="702" spans="1:10" x14ac:dyDescent="0.25">
      <c r="A702" s="5">
        <v>46700</v>
      </c>
      <c r="B702" s="7" t="s">
        <v>12</v>
      </c>
      <c r="C702" s="9" t="s">
        <v>14</v>
      </c>
      <c r="D702">
        <f>_xlfn.XLOOKUP(C702, 'Control Panel'!$B$4:$B$8,'Control Panel'!$C$4:$C$8,"0")</f>
        <v>0.85</v>
      </c>
      <c r="E702">
        <f>_xlfn.XLOOKUP(B702, 'Control Panel'!$B$11:$B$17,'Control Panel'!$C$11:$C$17,"0")</f>
        <v>0.95</v>
      </c>
      <c r="G702" s="9" t="str">
        <f>_xlfn.XLOOKUP(F702, 'Control Panel'!$B$20:$B$26,'Control Panel'!$C$20:$C$26,"0")</f>
        <v>0</v>
      </c>
      <c r="H702">
        <v>0</v>
      </c>
      <c r="I702">
        <f t="shared" si="10"/>
        <v>0.8075</v>
      </c>
      <c r="J702">
        <f>MAX(300,SUM('Control Panel'!$B$1*I702))</f>
        <v>300</v>
      </c>
    </row>
    <row r="703" spans="1:10" x14ac:dyDescent="0.25">
      <c r="A703" s="5">
        <v>46701</v>
      </c>
      <c r="B703" s="7" t="s">
        <v>13</v>
      </c>
      <c r="C703" s="9" t="s">
        <v>14</v>
      </c>
      <c r="D703">
        <f>_xlfn.XLOOKUP(C703, 'Control Panel'!$B$4:$B$8,'Control Panel'!$C$4:$C$8,"0")</f>
        <v>0.85</v>
      </c>
      <c r="E703">
        <f>_xlfn.XLOOKUP(B703, 'Control Panel'!$B$11:$B$17,'Control Panel'!$C$11:$C$17,"0")</f>
        <v>0.95</v>
      </c>
      <c r="G703" s="9" t="str">
        <f>_xlfn.XLOOKUP(F703, 'Control Panel'!$B$20:$B$26,'Control Panel'!$C$20:$C$26,"0")</f>
        <v>0</v>
      </c>
      <c r="H703">
        <v>0</v>
      </c>
      <c r="I703">
        <f t="shared" si="10"/>
        <v>0.8075</v>
      </c>
      <c r="J703">
        <f>MAX(300,SUM('Control Panel'!$B$1*I703))</f>
        <v>300</v>
      </c>
    </row>
    <row r="704" spans="1:10" x14ac:dyDescent="0.25">
      <c r="A704" s="5">
        <v>46702</v>
      </c>
      <c r="B704" s="7" t="s">
        <v>5</v>
      </c>
      <c r="C704" s="9" t="s">
        <v>14</v>
      </c>
      <c r="D704">
        <f>_xlfn.XLOOKUP(C704, 'Control Panel'!$B$4:$B$8,'Control Panel'!$C$4:$C$8,"0")</f>
        <v>0.85</v>
      </c>
      <c r="E704">
        <f>_xlfn.XLOOKUP(B704, 'Control Panel'!$B$11:$B$17,'Control Panel'!$C$11:$C$17,"0")</f>
        <v>0.95</v>
      </c>
      <c r="G704" s="9" t="str">
        <f>_xlfn.XLOOKUP(F704, 'Control Panel'!$B$20:$B$26,'Control Panel'!$C$20:$C$26,"0")</f>
        <v>0</v>
      </c>
      <c r="H704">
        <v>0</v>
      </c>
      <c r="I704">
        <f t="shared" si="10"/>
        <v>0.8075</v>
      </c>
      <c r="J704">
        <f>MAX(300,SUM('Control Panel'!$B$1*I704))</f>
        <v>300</v>
      </c>
    </row>
    <row r="705" spans="1:10" x14ac:dyDescent="0.25">
      <c r="A705" s="5">
        <v>46703</v>
      </c>
      <c r="B705" s="7" t="s">
        <v>8</v>
      </c>
      <c r="C705" s="9" t="s">
        <v>14</v>
      </c>
      <c r="D705">
        <f>_xlfn.XLOOKUP(C705, 'Control Panel'!$B$4:$B$8,'Control Panel'!$C$4:$C$8,"0")</f>
        <v>0.85</v>
      </c>
      <c r="E705">
        <f>_xlfn.XLOOKUP(B705, 'Control Panel'!$B$11:$B$17,'Control Panel'!$C$11:$C$17,"0")</f>
        <v>1.1000000000000001</v>
      </c>
      <c r="G705" s="9" t="str">
        <f>_xlfn.XLOOKUP(F705, 'Control Panel'!$B$20:$B$26,'Control Panel'!$C$20:$C$26,"0")</f>
        <v>0</v>
      </c>
      <c r="H705">
        <v>0</v>
      </c>
      <c r="I705">
        <f t="shared" si="10"/>
        <v>0.93500000000000005</v>
      </c>
      <c r="J705">
        <f>MAX(300,SUM('Control Panel'!$B$1*I705))</f>
        <v>300</v>
      </c>
    </row>
    <row r="706" spans="1:10" x14ac:dyDescent="0.25">
      <c r="A706" s="5">
        <v>46704</v>
      </c>
      <c r="B706" s="7" t="s">
        <v>9</v>
      </c>
      <c r="C706" s="9" t="s">
        <v>14</v>
      </c>
      <c r="D706">
        <f>_xlfn.XLOOKUP(C706, 'Control Panel'!$B$4:$B$8,'Control Panel'!$C$4:$C$8,"0")</f>
        <v>0.85</v>
      </c>
      <c r="E706">
        <f>_xlfn.XLOOKUP(B706, 'Control Panel'!$B$11:$B$17,'Control Panel'!$C$11:$C$17,"0")</f>
        <v>1.25</v>
      </c>
      <c r="G706" s="9" t="str">
        <f>_xlfn.XLOOKUP(F706, 'Control Panel'!$B$20:$B$26,'Control Panel'!$C$20:$C$26,"0")</f>
        <v>0</v>
      </c>
      <c r="H706">
        <v>0</v>
      </c>
      <c r="I706">
        <f t="shared" si="10"/>
        <v>1.0625</v>
      </c>
      <c r="J706">
        <f>MAX(300,SUM('Control Panel'!$B$1*I706))</f>
        <v>318.75</v>
      </c>
    </row>
    <row r="707" spans="1:10" x14ac:dyDescent="0.25">
      <c r="A707" s="5">
        <v>46705</v>
      </c>
      <c r="B707" s="7" t="s">
        <v>10</v>
      </c>
      <c r="C707" s="9" t="s">
        <v>14</v>
      </c>
      <c r="D707">
        <f>_xlfn.XLOOKUP(C707, 'Control Panel'!$B$4:$B$8,'Control Panel'!$C$4:$C$8,"0")</f>
        <v>0.85</v>
      </c>
      <c r="E707">
        <f>_xlfn.XLOOKUP(B707, 'Control Panel'!$B$11:$B$17,'Control Panel'!$C$11:$C$17,"0")</f>
        <v>1.05</v>
      </c>
      <c r="G707" s="9" t="str">
        <f>_xlfn.XLOOKUP(F707, 'Control Panel'!$B$20:$B$26,'Control Panel'!$C$20:$C$26,"0")</f>
        <v>0</v>
      </c>
      <c r="H707">
        <v>0</v>
      </c>
      <c r="I707">
        <f t="shared" si="10"/>
        <v>0.89249999999999996</v>
      </c>
      <c r="J707">
        <f>MAX(300,SUM('Control Panel'!$B$1*I707))</f>
        <v>300</v>
      </c>
    </row>
    <row r="708" spans="1:10" x14ac:dyDescent="0.25">
      <c r="A708" s="5">
        <v>46706</v>
      </c>
      <c r="B708" s="7" t="s">
        <v>11</v>
      </c>
      <c r="C708" s="9" t="s">
        <v>14</v>
      </c>
      <c r="D708">
        <f>_xlfn.XLOOKUP(C708, 'Control Panel'!$B$4:$B$8,'Control Panel'!$C$4:$C$8,"0")</f>
        <v>0.85</v>
      </c>
      <c r="E708">
        <f>_xlfn.XLOOKUP(B708, 'Control Panel'!$B$11:$B$17,'Control Panel'!$C$11:$C$17,"0")</f>
        <v>0.95</v>
      </c>
      <c r="G708" s="9" t="str">
        <f>_xlfn.XLOOKUP(F708, 'Control Panel'!$B$20:$B$26,'Control Panel'!$C$20:$C$26,"0")</f>
        <v>0</v>
      </c>
      <c r="H708">
        <v>0</v>
      </c>
      <c r="I708">
        <f t="shared" si="10"/>
        <v>0.8075</v>
      </c>
      <c r="J708">
        <f>MAX(300,SUM('Control Panel'!$B$1*I708))</f>
        <v>300</v>
      </c>
    </row>
    <row r="709" spans="1:10" x14ac:dyDescent="0.25">
      <c r="A709" s="5">
        <v>46707</v>
      </c>
      <c r="B709" s="7" t="s">
        <v>12</v>
      </c>
      <c r="C709" s="9" t="s">
        <v>14</v>
      </c>
      <c r="D709">
        <f>_xlfn.XLOOKUP(C709, 'Control Panel'!$B$4:$B$8,'Control Panel'!$C$4:$C$8,"0")</f>
        <v>0.85</v>
      </c>
      <c r="E709">
        <f>_xlfn.XLOOKUP(B709, 'Control Panel'!$B$11:$B$17,'Control Panel'!$C$11:$C$17,"0")</f>
        <v>0.95</v>
      </c>
      <c r="G709" s="9" t="str">
        <f>_xlfn.XLOOKUP(F709, 'Control Panel'!$B$20:$B$26,'Control Panel'!$C$20:$C$26,"0")</f>
        <v>0</v>
      </c>
      <c r="H709">
        <v>0</v>
      </c>
      <c r="I709">
        <f t="shared" si="10"/>
        <v>0.8075</v>
      </c>
      <c r="J709">
        <f>MAX(300,SUM('Control Panel'!$B$1*I709))</f>
        <v>300</v>
      </c>
    </row>
    <row r="710" spans="1:10" x14ac:dyDescent="0.25">
      <c r="A710" s="5">
        <v>46708</v>
      </c>
      <c r="B710" s="7" t="s">
        <v>13</v>
      </c>
      <c r="C710" s="9" t="s">
        <v>14</v>
      </c>
      <c r="D710">
        <f>_xlfn.XLOOKUP(C710, 'Control Panel'!$B$4:$B$8,'Control Panel'!$C$4:$C$8,"0")</f>
        <v>0.85</v>
      </c>
      <c r="E710">
        <f>_xlfn.XLOOKUP(B710, 'Control Panel'!$B$11:$B$17,'Control Panel'!$C$11:$C$17,"0")</f>
        <v>0.95</v>
      </c>
      <c r="G710" s="9" t="str">
        <f>_xlfn.XLOOKUP(F710, 'Control Panel'!$B$20:$B$26,'Control Panel'!$C$20:$C$26,"0")</f>
        <v>0</v>
      </c>
      <c r="H710">
        <v>0</v>
      </c>
      <c r="I710">
        <f t="shared" si="10"/>
        <v>0.8075</v>
      </c>
      <c r="J710">
        <f>MAX(300,SUM('Control Panel'!$B$1*I710))</f>
        <v>300</v>
      </c>
    </row>
    <row r="711" spans="1:10" x14ac:dyDescent="0.25">
      <c r="A711" s="5">
        <v>46709</v>
      </c>
      <c r="B711" s="7" t="s">
        <v>5</v>
      </c>
      <c r="C711" s="9" t="s">
        <v>14</v>
      </c>
      <c r="D711">
        <f>_xlfn.XLOOKUP(C711, 'Control Panel'!$B$4:$B$8,'Control Panel'!$C$4:$C$8,"0")</f>
        <v>0.85</v>
      </c>
      <c r="E711">
        <f>_xlfn.XLOOKUP(B711, 'Control Panel'!$B$11:$B$17,'Control Panel'!$C$11:$C$17,"0")</f>
        <v>0.95</v>
      </c>
      <c r="G711" s="9" t="str">
        <f>_xlfn.XLOOKUP(F711, 'Control Panel'!$B$20:$B$26,'Control Panel'!$C$20:$C$26,"0")</f>
        <v>0</v>
      </c>
      <c r="H711">
        <v>0</v>
      </c>
      <c r="I711">
        <f t="shared" si="10"/>
        <v>0.8075</v>
      </c>
      <c r="J711">
        <f>MAX(300,SUM('Control Panel'!$B$1*I711))</f>
        <v>300</v>
      </c>
    </row>
    <row r="712" spans="1:10" x14ac:dyDescent="0.25">
      <c r="A712" s="5">
        <v>46710</v>
      </c>
      <c r="B712" s="7" t="s">
        <v>8</v>
      </c>
      <c r="C712" s="9" t="s">
        <v>14</v>
      </c>
      <c r="D712">
        <f>_xlfn.XLOOKUP(C712, 'Control Panel'!$B$4:$B$8,'Control Panel'!$C$4:$C$8,"0")</f>
        <v>0.85</v>
      </c>
      <c r="E712">
        <f>_xlfn.XLOOKUP(B712, 'Control Panel'!$B$11:$B$17,'Control Panel'!$C$11:$C$17,"0")</f>
        <v>1.1000000000000001</v>
      </c>
      <c r="G712" s="9" t="str">
        <f>_xlfn.XLOOKUP(F712, 'Control Panel'!$B$20:$B$26,'Control Panel'!$C$20:$C$26,"0")</f>
        <v>0</v>
      </c>
      <c r="H712">
        <v>0</v>
      </c>
      <c r="I712">
        <f t="shared" si="10"/>
        <v>0.93500000000000005</v>
      </c>
      <c r="J712">
        <f>MAX(300,SUM('Control Panel'!$B$1*I712))</f>
        <v>300</v>
      </c>
    </row>
    <row r="713" spans="1:10" x14ac:dyDescent="0.25">
      <c r="A713" s="5">
        <v>46711</v>
      </c>
      <c r="B713" s="7" t="s">
        <v>9</v>
      </c>
      <c r="C713" s="9" t="s">
        <v>14</v>
      </c>
      <c r="D713">
        <f>_xlfn.XLOOKUP(C713, 'Control Panel'!$B$4:$B$8,'Control Panel'!$C$4:$C$8,"0")</f>
        <v>0.85</v>
      </c>
      <c r="E713">
        <f>_xlfn.XLOOKUP(B713, 'Control Panel'!$B$11:$B$17,'Control Panel'!$C$11:$C$17,"0")</f>
        <v>1.25</v>
      </c>
      <c r="G713" s="9" t="str">
        <f>_xlfn.XLOOKUP(F713, 'Control Panel'!$B$20:$B$26,'Control Panel'!$C$20:$C$26,"0")</f>
        <v>0</v>
      </c>
      <c r="H713">
        <v>0</v>
      </c>
      <c r="I713">
        <f t="shared" si="10"/>
        <v>1.0625</v>
      </c>
      <c r="J713">
        <f>MAX(300,SUM('Control Panel'!$B$1*I713))</f>
        <v>318.75</v>
      </c>
    </row>
    <row r="714" spans="1:10" x14ac:dyDescent="0.25">
      <c r="A714" s="5">
        <v>46712</v>
      </c>
      <c r="B714" s="7" t="s">
        <v>10</v>
      </c>
      <c r="C714" s="9" t="s">
        <v>14</v>
      </c>
      <c r="D714">
        <f>_xlfn.XLOOKUP(C714, 'Control Panel'!$B$4:$B$8,'Control Panel'!$C$4:$C$8,"0")</f>
        <v>0.85</v>
      </c>
      <c r="E714">
        <f>_xlfn.XLOOKUP(B714, 'Control Panel'!$B$11:$B$17,'Control Panel'!$C$11:$C$17,"0")</f>
        <v>1.05</v>
      </c>
      <c r="G714" s="9" t="str">
        <f>_xlfn.XLOOKUP(F714, 'Control Panel'!$B$20:$B$26,'Control Panel'!$C$20:$C$26,"0")</f>
        <v>0</v>
      </c>
      <c r="H714">
        <v>0</v>
      </c>
      <c r="I714">
        <f t="shared" si="10"/>
        <v>0.89249999999999996</v>
      </c>
      <c r="J714">
        <f>MAX(300,SUM('Control Panel'!$B$1*I714))</f>
        <v>300</v>
      </c>
    </row>
    <row r="715" spans="1:10" x14ac:dyDescent="0.25">
      <c r="A715" s="5">
        <v>46713</v>
      </c>
      <c r="B715" s="7" t="s">
        <v>11</v>
      </c>
      <c r="C715" s="9" t="s">
        <v>14</v>
      </c>
      <c r="D715">
        <f>_xlfn.XLOOKUP(C715, 'Control Panel'!$B$4:$B$8,'Control Panel'!$C$4:$C$8,"0")</f>
        <v>0.85</v>
      </c>
      <c r="E715">
        <f>_xlfn.XLOOKUP(B715, 'Control Panel'!$B$11:$B$17,'Control Panel'!$C$11:$C$17,"0")</f>
        <v>0.95</v>
      </c>
      <c r="G715" s="9" t="str">
        <f>_xlfn.XLOOKUP(F715, 'Control Panel'!$B$20:$B$26,'Control Panel'!$C$20:$C$26,"0")</f>
        <v>0</v>
      </c>
      <c r="H715">
        <v>0</v>
      </c>
      <c r="I715">
        <f t="shared" si="10"/>
        <v>0.8075</v>
      </c>
      <c r="J715">
        <f>MAX(300,SUM('Control Panel'!$B$1*I715))</f>
        <v>300</v>
      </c>
    </row>
    <row r="716" spans="1:10" x14ac:dyDescent="0.25">
      <c r="A716" s="5">
        <v>46714</v>
      </c>
      <c r="B716" s="7" t="s">
        <v>12</v>
      </c>
      <c r="C716" s="9" t="s">
        <v>14</v>
      </c>
      <c r="D716">
        <f>_xlfn.XLOOKUP(C716, 'Control Panel'!$B$4:$B$8,'Control Panel'!$C$4:$C$8,"0")</f>
        <v>0.85</v>
      </c>
      <c r="E716">
        <f>_xlfn.XLOOKUP(B716, 'Control Panel'!$B$11:$B$17,'Control Panel'!$C$11:$C$17,"0")</f>
        <v>0.95</v>
      </c>
      <c r="G716" s="9" t="str">
        <f>_xlfn.XLOOKUP(F716, 'Control Panel'!$B$20:$B$26,'Control Panel'!$C$20:$C$26,"0")</f>
        <v>0</v>
      </c>
      <c r="H716">
        <v>0</v>
      </c>
      <c r="I716">
        <f t="shared" si="10"/>
        <v>0.8075</v>
      </c>
      <c r="J716">
        <f>MAX(300,SUM('Control Panel'!$B$1*I716))</f>
        <v>300</v>
      </c>
    </row>
    <row r="717" spans="1:10" x14ac:dyDescent="0.25">
      <c r="A717" s="5">
        <v>46715</v>
      </c>
      <c r="B717" s="7" t="s">
        <v>13</v>
      </c>
      <c r="C717" s="9" t="s">
        <v>14</v>
      </c>
      <c r="D717">
        <f>_xlfn.XLOOKUP(C717, 'Control Panel'!$B$4:$B$8,'Control Panel'!$C$4:$C$8,"0")</f>
        <v>0.85</v>
      </c>
      <c r="E717">
        <f>_xlfn.XLOOKUP(B717, 'Control Panel'!$B$11:$B$17,'Control Panel'!$C$11:$C$17,"0")</f>
        <v>0.95</v>
      </c>
      <c r="G717" s="9" t="str">
        <f>_xlfn.XLOOKUP(F717, 'Control Panel'!$B$20:$B$26,'Control Panel'!$C$20:$C$26,"0")</f>
        <v>0</v>
      </c>
      <c r="H717">
        <v>0</v>
      </c>
      <c r="I717">
        <f t="shared" si="10"/>
        <v>0.8075</v>
      </c>
      <c r="J717">
        <f>MAX(300,SUM('Control Panel'!$B$1*I717))</f>
        <v>300</v>
      </c>
    </row>
    <row r="718" spans="1:10" x14ac:dyDescent="0.25">
      <c r="A718" s="5">
        <v>46716</v>
      </c>
      <c r="B718" s="7" t="s">
        <v>5</v>
      </c>
      <c r="C718" s="9" t="s">
        <v>14</v>
      </c>
      <c r="D718">
        <f>_xlfn.XLOOKUP(C718, 'Control Panel'!$B$4:$B$8,'Control Panel'!$C$4:$C$8,"0")</f>
        <v>0.85</v>
      </c>
      <c r="E718">
        <f>_xlfn.XLOOKUP(B718, 'Control Panel'!$B$11:$B$17,'Control Panel'!$C$11:$C$17,"0")</f>
        <v>0.95</v>
      </c>
      <c r="G718" s="9" t="str">
        <f>_xlfn.XLOOKUP(F718, 'Control Panel'!$B$20:$B$26,'Control Panel'!$C$20:$C$26,"0")</f>
        <v>0</v>
      </c>
      <c r="H718">
        <v>0</v>
      </c>
      <c r="I718">
        <f t="shared" si="10"/>
        <v>0.8075</v>
      </c>
      <c r="J718">
        <f>MAX(300,SUM('Control Panel'!$B$1*I718))</f>
        <v>300</v>
      </c>
    </row>
    <row r="719" spans="1:10" x14ac:dyDescent="0.25">
      <c r="A719" s="5">
        <v>46717</v>
      </c>
      <c r="B719" s="7" t="s">
        <v>8</v>
      </c>
      <c r="C719" s="9" t="s">
        <v>14</v>
      </c>
      <c r="D719">
        <f>_xlfn.XLOOKUP(C719, 'Control Panel'!$B$4:$B$8,'Control Panel'!$C$4:$C$8,"0")</f>
        <v>0.85</v>
      </c>
      <c r="E719">
        <f>_xlfn.XLOOKUP(B719, 'Control Panel'!$B$11:$B$17,'Control Panel'!$C$11:$C$17,"0")</f>
        <v>1.1000000000000001</v>
      </c>
      <c r="G719" s="9" t="str">
        <f>_xlfn.XLOOKUP(F719, 'Control Panel'!$B$20:$B$26,'Control Panel'!$C$20:$C$26,"0")</f>
        <v>0</v>
      </c>
      <c r="H719">
        <v>0</v>
      </c>
      <c r="I719">
        <f t="shared" si="10"/>
        <v>0.93500000000000005</v>
      </c>
      <c r="J719">
        <f>MAX(300,SUM('Control Panel'!$B$1*I719))</f>
        <v>300</v>
      </c>
    </row>
    <row r="720" spans="1:10" x14ac:dyDescent="0.25">
      <c r="A720" s="5">
        <v>46718</v>
      </c>
      <c r="B720" s="7" t="s">
        <v>9</v>
      </c>
      <c r="C720" s="9" t="s">
        <v>14</v>
      </c>
      <c r="D720">
        <f>_xlfn.XLOOKUP(C720, 'Control Panel'!$B$4:$B$8,'Control Panel'!$C$4:$C$8,"0")</f>
        <v>0.85</v>
      </c>
      <c r="E720">
        <f>_xlfn.XLOOKUP(B720, 'Control Panel'!$B$11:$B$17,'Control Panel'!$C$11:$C$17,"0")</f>
        <v>1.25</v>
      </c>
      <c r="G720" s="9" t="str">
        <f>_xlfn.XLOOKUP(F720, 'Control Panel'!$B$20:$B$26,'Control Panel'!$C$20:$C$26,"0")</f>
        <v>0</v>
      </c>
      <c r="H720">
        <v>0</v>
      </c>
      <c r="I720">
        <f t="shared" si="10"/>
        <v>1.0625</v>
      </c>
      <c r="J720">
        <f>MAX(300,SUM('Control Panel'!$B$1*I720))</f>
        <v>318.75</v>
      </c>
    </row>
    <row r="721" spans="1:10" x14ac:dyDescent="0.25">
      <c r="A721" s="5">
        <v>46719</v>
      </c>
      <c r="B721" s="7" t="s">
        <v>10</v>
      </c>
      <c r="C721" s="9" t="s">
        <v>14</v>
      </c>
      <c r="D721">
        <f>_xlfn.XLOOKUP(C721, 'Control Panel'!$B$4:$B$8,'Control Panel'!$C$4:$C$8,"0")</f>
        <v>0.85</v>
      </c>
      <c r="E721">
        <f>_xlfn.XLOOKUP(B721, 'Control Panel'!$B$11:$B$17,'Control Panel'!$C$11:$C$17,"0")</f>
        <v>1.05</v>
      </c>
      <c r="G721" s="9" t="str">
        <f>_xlfn.XLOOKUP(F721, 'Control Panel'!$B$20:$B$26,'Control Panel'!$C$20:$C$26,"0")</f>
        <v>0</v>
      </c>
      <c r="H721">
        <v>0</v>
      </c>
      <c r="I721">
        <f t="shared" si="10"/>
        <v>0.89249999999999996</v>
      </c>
      <c r="J721">
        <f>MAX(300,SUM('Control Panel'!$B$1*I721))</f>
        <v>300</v>
      </c>
    </row>
    <row r="722" spans="1:10" x14ac:dyDescent="0.25">
      <c r="A722" s="5">
        <v>46720</v>
      </c>
      <c r="B722" s="7" t="s">
        <v>11</v>
      </c>
      <c r="C722" s="9" t="s">
        <v>14</v>
      </c>
      <c r="D722">
        <f>_xlfn.XLOOKUP(C722, 'Control Panel'!$B$4:$B$8,'Control Panel'!$C$4:$C$8,"0")</f>
        <v>0.85</v>
      </c>
      <c r="E722">
        <f>_xlfn.XLOOKUP(B722, 'Control Panel'!$B$11:$B$17,'Control Panel'!$C$11:$C$17,"0")</f>
        <v>0.95</v>
      </c>
      <c r="G722" s="9" t="str">
        <f>_xlfn.XLOOKUP(F722, 'Control Panel'!$B$20:$B$26,'Control Panel'!$C$20:$C$26,"0")</f>
        <v>0</v>
      </c>
      <c r="H722">
        <v>0</v>
      </c>
      <c r="I722">
        <f t="shared" si="10"/>
        <v>0.8075</v>
      </c>
      <c r="J722">
        <f>MAX(300,SUM('Control Panel'!$B$1*I722))</f>
        <v>300</v>
      </c>
    </row>
    <row r="723" spans="1:10" x14ac:dyDescent="0.25">
      <c r="A723" s="5">
        <v>46721</v>
      </c>
      <c r="B723" s="7" t="s">
        <v>12</v>
      </c>
      <c r="C723" s="9" t="s">
        <v>14</v>
      </c>
      <c r="D723">
        <f>_xlfn.XLOOKUP(C723, 'Control Panel'!$B$4:$B$8,'Control Panel'!$C$4:$C$8,"0")</f>
        <v>0.85</v>
      </c>
      <c r="E723">
        <f>_xlfn.XLOOKUP(B723, 'Control Panel'!$B$11:$B$17,'Control Panel'!$C$11:$C$17,"0")</f>
        <v>0.95</v>
      </c>
      <c r="G723" s="9" t="str">
        <f>_xlfn.XLOOKUP(F723, 'Control Panel'!$B$20:$B$26,'Control Panel'!$C$20:$C$26,"0")</f>
        <v>0</v>
      </c>
      <c r="H723">
        <v>0</v>
      </c>
      <c r="I723">
        <f t="shared" si="10"/>
        <v>0.8075</v>
      </c>
      <c r="J723">
        <f>MAX(300,SUM('Control Panel'!$B$1*I723))</f>
        <v>300</v>
      </c>
    </row>
    <row r="724" spans="1:10" x14ac:dyDescent="0.25">
      <c r="A724" s="10" t="s">
        <v>43</v>
      </c>
      <c r="B724" s="13"/>
      <c r="C724" s="14"/>
      <c r="G724" s="9" t="str">
        <f>_xlfn.XLOOKUP(F724, 'Control Panel'!$B$20:$B$26,'Control Panel'!$C$20:$C$26,"0")</f>
        <v>0</v>
      </c>
    </row>
    <row r="725" spans="1:10" x14ac:dyDescent="0.25">
      <c r="A725" s="5">
        <v>46722</v>
      </c>
      <c r="B725" s="7" t="s">
        <v>13</v>
      </c>
      <c r="C725" s="9" t="s">
        <v>14</v>
      </c>
      <c r="D725">
        <f>_xlfn.XLOOKUP(C725, 'Control Panel'!$B$4:$B$8,'Control Panel'!$C$4:$C$8,"0")</f>
        <v>0.85</v>
      </c>
      <c r="E725">
        <f>_xlfn.XLOOKUP(B725, 'Control Panel'!$B$11:$B$17,'Control Panel'!$C$11:$C$17,"0")</f>
        <v>0.95</v>
      </c>
      <c r="G725" s="9" t="str">
        <f>_xlfn.XLOOKUP(F725, 'Control Panel'!$B$20:$B$26,'Control Panel'!$C$20:$C$26,"0")</f>
        <v>0</v>
      </c>
      <c r="H725">
        <v>0</v>
      </c>
      <c r="I725">
        <f t="shared" si="10"/>
        <v>0.8075</v>
      </c>
      <c r="J725">
        <f>MAX(300,SUM('Control Panel'!$B$1*I725))</f>
        <v>300</v>
      </c>
    </row>
    <row r="726" spans="1:10" x14ac:dyDescent="0.25">
      <c r="A726" s="5">
        <v>46723</v>
      </c>
      <c r="B726" s="7" t="s">
        <v>5</v>
      </c>
      <c r="C726" s="9" t="s">
        <v>14</v>
      </c>
      <c r="D726">
        <f>_xlfn.XLOOKUP(C726, 'Control Panel'!$B$4:$B$8,'Control Panel'!$C$4:$C$8,"0")</f>
        <v>0.85</v>
      </c>
      <c r="E726">
        <f>_xlfn.XLOOKUP(B726, 'Control Panel'!$B$11:$B$17,'Control Panel'!$C$11:$C$17,"0")</f>
        <v>0.95</v>
      </c>
      <c r="G726" s="9" t="str">
        <f>_xlfn.XLOOKUP(F726, 'Control Panel'!$B$20:$B$26,'Control Panel'!$C$20:$C$26,"0")</f>
        <v>0</v>
      </c>
      <c r="H726">
        <v>0</v>
      </c>
      <c r="I726">
        <f t="shared" si="10"/>
        <v>0.8075</v>
      </c>
      <c r="J726">
        <f>MAX(300,SUM('Control Panel'!$B$1*I726))</f>
        <v>300</v>
      </c>
    </row>
    <row r="727" spans="1:10" x14ac:dyDescent="0.25">
      <c r="A727" s="5">
        <v>46724</v>
      </c>
      <c r="B727" s="7" t="s">
        <v>8</v>
      </c>
      <c r="C727" s="9" t="s">
        <v>14</v>
      </c>
      <c r="D727">
        <f>_xlfn.XLOOKUP(C727, 'Control Panel'!$B$4:$B$8,'Control Panel'!$C$4:$C$8,"0")</f>
        <v>0.85</v>
      </c>
      <c r="E727">
        <f>_xlfn.XLOOKUP(B727, 'Control Panel'!$B$11:$B$17,'Control Panel'!$C$11:$C$17,"0")</f>
        <v>1.1000000000000001</v>
      </c>
      <c r="G727" s="9" t="str">
        <f>_xlfn.XLOOKUP(F727, 'Control Panel'!$B$20:$B$26,'Control Panel'!$C$20:$C$26,"0")</f>
        <v>0</v>
      </c>
      <c r="H727">
        <v>0</v>
      </c>
      <c r="I727">
        <f t="shared" si="10"/>
        <v>0.93500000000000005</v>
      </c>
      <c r="J727">
        <f>MAX(300,SUM('Control Panel'!$B$1*I727))</f>
        <v>300</v>
      </c>
    </row>
    <row r="728" spans="1:10" x14ac:dyDescent="0.25">
      <c r="A728" s="5">
        <v>46725</v>
      </c>
      <c r="B728" s="7" t="s">
        <v>9</v>
      </c>
      <c r="C728" s="9" t="s">
        <v>14</v>
      </c>
      <c r="D728">
        <f>_xlfn.XLOOKUP(C728, 'Control Panel'!$B$4:$B$8,'Control Panel'!$C$4:$C$8,"0")</f>
        <v>0.85</v>
      </c>
      <c r="E728">
        <f>_xlfn.XLOOKUP(B728, 'Control Panel'!$B$11:$B$17,'Control Panel'!$C$11:$C$17,"0")</f>
        <v>1.25</v>
      </c>
      <c r="G728" s="9" t="str">
        <f>_xlfn.XLOOKUP(F728, 'Control Panel'!$B$20:$B$26,'Control Panel'!$C$20:$C$26,"0")</f>
        <v>0</v>
      </c>
      <c r="H728">
        <v>0</v>
      </c>
      <c r="I728">
        <f t="shared" si="10"/>
        <v>1.0625</v>
      </c>
      <c r="J728">
        <f>MAX(300,SUM('Control Panel'!$B$1*I728))</f>
        <v>318.75</v>
      </c>
    </row>
    <row r="729" spans="1:10" x14ac:dyDescent="0.25">
      <c r="A729" s="5">
        <v>46726</v>
      </c>
      <c r="B729" s="7" t="s">
        <v>10</v>
      </c>
      <c r="C729" s="9" t="s">
        <v>14</v>
      </c>
      <c r="D729">
        <f>_xlfn.XLOOKUP(C729, 'Control Panel'!$B$4:$B$8,'Control Panel'!$C$4:$C$8,"0")</f>
        <v>0.85</v>
      </c>
      <c r="E729">
        <f>_xlfn.XLOOKUP(B729, 'Control Panel'!$B$11:$B$17,'Control Panel'!$C$11:$C$17,"0")</f>
        <v>1.05</v>
      </c>
      <c r="G729" s="9" t="str">
        <f>_xlfn.XLOOKUP(F729, 'Control Panel'!$B$20:$B$26,'Control Panel'!$C$20:$C$26,"0")</f>
        <v>0</v>
      </c>
      <c r="H729">
        <v>0</v>
      </c>
      <c r="I729">
        <f t="shared" si="10"/>
        <v>0.89249999999999996</v>
      </c>
      <c r="J729">
        <f>MAX(300,SUM('Control Panel'!$B$1*I729))</f>
        <v>300</v>
      </c>
    </row>
    <row r="730" spans="1:10" x14ac:dyDescent="0.25">
      <c r="A730" s="5">
        <v>46727</v>
      </c>
      <c r="B730" s="7" t="s">
        <v>11</v>
      </c>
      <c r="C730" s="9" t="s">
        <v>14</v>
      </c>
      <c r="D730">
        <f>_xlfn.XLOOKUP(C730, 'Control Panel'!$B$4:$B$8,'Control Panel'!$C$4:$C$8,"0")</f>
        <v>0.85</v>
      </c>
      <c r="E730">
        <f>_xlfn.XLOOKUP(B730, 'Control Panel'!$B$11:$B$17,'Control Panel'!$C$11:$C$17,"0")</f>
        <v>0.95</v>
      </c>
      <c r="G730" s="9" t="str">
        <f>_xlfn.XLOOKUP(F730, 'Control Panel'!$B$20:$B$26,'Control Panel'!$C$20:$C$26,"0")</f>
        <v>0</v>
      </c>
      <c r="H730">
        <v>0</v>
      </c>
      <c r="I730">
        <f t="shared" si="10"/>
        <v>0.8075</v>
      </c>
      <c r="J730">
        <f>MAX(300,SUM('Control Panel'!$B$1*I730))</f>
        <v>300</v>
      </c>
    </row>
    <row r="731" spans="1:10" x14ac:dyDescent="0.25">
      <c r="A731" s="5">
        <v>46728</v>
      </c>
      <c r="B731" s="7" t="s">
        <v>12</v>
      </c>
      <c r="C731" s="9" t="s">
        <v>14</v>
      </c>
      <c r="D731">
        <f>_xlfn.XLOOKUP(C731, 'Control Panel'!$B$4:$B$8,'Control Panel'!$C$4:$C$8,"0")</f>
        <v>0.85</v>
      </c>
      <c r="E731">
        <f>_xlfn.XLOOKUP(B731, 'Control Panel'!$B$11:$B$17,'Control Panel'!$C$11:$C$17,"0")</f>
        <v>0.95</v>
      </c>
      <c r="G731" s="9" t="str">
        <f>_xlfn.XLOOKUP(F731, 'Control Panel'!$B$20:$B$26,'Control Panel'!$C$20:$C$26,"0")</f>
        <v>0</v>
      </c>
      <c r="H731">
        <v>0</v>
      </c>
      <c r="I731">
        <f t="shared" si="10"/>
        <v>0.8075</v>
      </c>
      <c r="J731">
        <f>MAX(300,SUM('Control Panel'!$B$1*I731))</f>
        <v>300</v>
      </c>
    </row>
    <row r="732" spans="1:10" x14ac:dyDescent="0.25">
      <c r="A732" s="5">
        <v>46729</v>
      </c>
      <c r="B732" s="7" t="s">
        <v>13</v>
      </c>
      <c r="C732" s="9" t="s">
        <v>14</v>
      </c>
      <c r="D732">
        <f>_xlfn.XLOOKUP(C732, 'Control Panel'!$B$4:$B$8,'Control Panel'!$C$4:$C$8,"0")</f>
        <v>0.85</v>
      </c>
      <c r="E732">
        <f>_xlfn.XLOOKUP(B732, 'Control Panel'!$B$11:$B$17,'Control Panel'!$C$11:$C$17,"0")</f>
        <v>0.95</v>
      </c>
      <c r="G732" s="9" t="str">
        <f>_xlfn.XLOOKUP(F732, 'Control Panel'!$B$20:$B$26,'Control Panel'!$C$20:$C$26,"0")</f>
        <v>0</v>
      </c>
      <c r="H732">
        <v>0</v>
      </c>
      <c r="I732">
        <f t="shared" ref="I732:I755" si="11">(D732*E732)+G732+H732</f>
        <v>0.8075</v>
      </c>
      <c r="J732">
        <f>MAX(300,SUM('Control Panel'!$B$1*I732))</f>
        <v>300</v>
      </c>
    </row>
    <row r="733" spans="1:10" x14ac:dyDescent="0.25">
      <c r="A733" s="5">
        <v>46730</v>
      </c>
      <c r="B733" s="7" t="s">
        <v>5</v>
      </c>
      <c r="C733" s="9" t="s">
        <v>14</v>
      </c>
      <c r="D733">
        <f>_xlfn.XLOOKUP(C733, 'Control Panel'!$B$4:$B$8,'Control Panel'!$C$4:$C$8,"0")</f>
        <v>0.85</v>
      </c>
      <c r="E733">
        <f>_xlfn.XLOOKUP(B733, 'Control Panel'!$B$11:$B$17,'Control Panel'!$C$11:$C$17,"0")</f>
        <v>0.95</v>
      </c>
      <c r="G733" s="9" t="str">
        <f>_xlfn.XLOOKUP(F733, 'Control Panel'!$B$20:$B$26,'Control Panel'!$C$20:$C$26,"0")</f>
        <v>0</v>
      </c>
      <c r="H733">
        <v>0</v>
      </c>
      <c r="I733">
        <f t="shared" si="11"/>
        <v>0.8075</v>
      </c>
      <c r="J733">
        <f>MAX(300,SUM('Control Panel'!$B$1*I733))</f>
        <v>300</v>
      </c>
    </row>
    <row r="734" spans="1:10" x14ac:dyDescent="0.25">
      <c r="A734" s="5">
        <v>46731</v>
      </c>
      <c r="B734" s="7" t="s">
        <v>8</v>
      </c>
      <c r="C734" s="9" t="s">
        <v>14</v>
      </c>
      <c r="D734">
        <f>_xlfn.XLOOKUP(C734, 'Control Panel'!$B$4:$B$8,'Control Panel'!$C$4:$C$8,"0")</f>
        <v>0.85</v>
      </c>
      <c r="E734">
        <f>_xlfn.XLOOKUP(B734, 'Control Panel'!$B$11:$B$17,'Control Panel'!$C$11:$C$17,"0")</f>
        <v>1.1000000000000001</v>
      </c>
      <c r="G734" s="9" t="str">
        <f>_xlfn.XLOOKUP(F734, 'Control Panel'!$B$20:$B$26,'Control Panel'!$C$20:$C$26,"0")</f>
        <v>0</v>
      </c>
      <c r="H734">
        <v>0</v>
      </c>
      <c r="I734">
        <f t="shared" si="11"/>
        <v>0.93500000000000005</v>
      </c>
      <c r="J734">
        <f>MAX(300,SUM('Control Panel'!$B$1*I734))</f>
        <v>300</v>
      </c>
    </row>
    <row r="735" spans="1:10" x14ac:dyDescent="0.25">
      <c r="A735" s="5">
        <v>46732</v>
      </c>
      <c r="B735" s="7" t="s">
        <v>9</v>
      </c>
      <c r="C735" s="9" t="s">
        <v>14</v>
      </c>
      <c r="D735">
        <f>_xlfn.XLOOKUP(C735, 'Control Panel'!$B$4:$B$8,'Control Panel'!$C$4:$C$8,"0")</f>
        <v>0.85</v>
      </c>
      <c r="E735">
        <f>_xlfn.XLOOKUP(B735, 'Control Panel'!$B$11:$B$17,'Control Panel'!$C$11:$C$17,"0")</f>
        <v>1.25</v>
      </c>
      <c r="G735" s="9" t="str">
        <f>_xlfn.XLOOKUP(F735, 'Control Panel'!$B$20:$B$26,'Control Panel'!$C$20:$C$26,"0")</f>
        <v>0</v>
      </c>
      <c r="H735">
        <v>0</v>
      </c>
      <c r="I735">
        <f t="shared" si="11"/>
        <v>1.0625</v>
      </c>
      <c r="J735">
        <f>MAX(300,SUM('Control Panel'!$B$1*I735))</f>
        <v>318.75</v>
      </c>
    </row>
    <row r="736" spans="1:10" x14ac:dyDescent="0.25">
      <c r="A736" s="5">
        <v>46733</v>
      </c>
      <c r="B736" s="7" t="s">
        <v>10</v>
      </c>
      <c r="C736" s="9" t="s">
        <v>14</v>
      </c>
      <c r="D736">
        <f>_xlfn.XLOOKUP(C736, 'Control Panel'!$B$4:$B$8,'Control Panel'!$C$4:$C$8,"0")</f>
        <v>0.85</v>
      </c>
      <c r="E736">
        <f>_xlfn.XLOOKUP(B736, 'Control Panel'!$B$11:$B$17,'Control Panel'!$C$11:$C$17,"0")</f>
        <v>1.05</v>
      </c>
      <c r="G736" s="9" t="str">
        <f>_xlfn.XLOOKUP(F736, 'Control Panel'!$B$20:$B$26,'Control Panel'!$C$20:$C$26,"0")</f>
        <v>0</v>
      </c>
      <c r="H736">
        <v>0</v>
      </c>
      <c r="I736">
        <f t="shared" si="11"/>
        <v>0.89249999999999996</v>
      </c>
      <c r="J736">
        <f>MAX(300,SUM('Control Panel'!$B$1*I736))</f>
        <v>300</v>
      </c>
    </row>
    <row r="737" spans="1:10" x14ac:dyDescent="0.25">
      <c r="A737" s="5">
        <v>46734</v>
      </c>
      <c r="B737" s="7" t="s">
        <v>11</v>
      </c>
      <c r="C737" s="9" t="s">
        <v>14</v>
      </c>
      <c r="D737">
        <f>_xlfn.XLOOKUP(C737, 'Control Panel'!$B$4:$B$8,'Control Panel'!$C$4:$C$8,"0")</f>
        <v>0.85</v>
      </c>
      <c r="E737">
        <f>_xlfn.XLOOKUP(B737, 'Control Panel'!$B$11:$B$17,'Control Panel'!$C$11:$C$17,"0")</f>
        <v>0.95</v>
      </c>
      <c r="G737" s="9" t="str">
        <f>_xlfn.XLOOKUP(F737, 'Control Panel'!$B$20:$B$26,'Control Panel'!$C$20:$C$26,"0")</f>
        <v>0</v>
      </c>
      <c r="H737">
        <v>0</v>
      </c>
      <c r="I737">
        <f t="shared" si="11"/>
        <v>0.8075</v>
      </c>
      <c r="J737">
        <f>MAX(300,SUM('Control Panel'!$B$1*I737))</f>
        <v>300</v>
      </c>
    </row>
    <row r="738" spans="1:10" x14ac:dyDescent="0.25">
      <c r="A738" s="5">
        <v>46735</v>
      </c>
      <c r="B738" s="7" t="s">
        <v>12</v>
      </c>
      <c r="C738" s="9" t="s">
        <v>14</v>
      </c>
      <c r="D738">
        <f>_xlfn.XLOOKUP(C738, 'Control Panel'!$B$4:$B$8,'Control Panel'!$C$4:$C$8,"0")</f>
        <v>0.85</v>
      </c>
      <c r="E738">
        <f>_xlfn.XLOOKUP(B738, 'Control Panel'!$B$11:$B$17,'Control Panel'!$C$11:$C$17,"0")</f>
        <v>0.95</v>
      </c>
      <c r="G738" s="9" t="str">
        <f>_xlfn.XLOOKUP(F738, 'Control Panel'!$B$20:$B$26,'Control Panel'!$C$20:$C$26,"0")</f>
        <v>0</v>
      </c>
      <c r="H738">
        <v>0</v>
      </c>
      <c r="I738">
        <f t="shared" si="11"/>
        <v>0.8075</v>
      </c>
      <c r="J738">
        <f>MAX(300,SUM('Control Panel'!$B$1*I738))</f>
        <v>300</v>
      </c>
    </row>
    <row r="739" spans="1:10" x14ac:dyDescent="0.25">
      <c r="A739" s="5">
        <v>46736</v>
      </c>
      <c r="B739" s="7" t="s">
        <v>13</v>
      </c>
      <c r="C739" s="9" t="s">
        <v>6</v>
      </c>
      <c r="D739">
        <f>_xlfn.XLOOKUP(C739, 'Control Panel'!$B$4:$B$8,'Control Panel'!$C$4:$C$8,"0")</f>
        <v>1.25</v>
      </c>
      <c r="E739">
        <f>_xlfn.XLOOKUP(B739, 'Control Panel'!$B$11:$B$17,'Control Panel'!$C$11:$C$17,"0")</f>
        <v>0.95</v>
      </c>
      <c r="G739" s="9" t="str">
        <f>_xlfn.XLOOKUP(F739, 'Control Panel'!$B$20:$B$26,'Control Panel'!$C$20:$C$26,"0")</f>
        <v>0</v>
      </c>
      <c r="H739">
        <v>0</v>
      </c>
      <c r="I739">
        <f t="shared" si="11"/>
        <v>1.1875</v>
      </c>
      <c r="J739">
        <f>MAX(300,SUM('Control Panel'!$B$1*I739))</f>
        <v>356.25</v>
      </c>
    </row>
    <row r="740" spans="1:10" x14ac:dyDescent="0.25">
      <c r="A740" s="5">
        <v>46737</v>
      </c>
      <c r="B740" s="7" t="s">
        <v>5</v>
      </c>
      <c r="C740" s="9" t="s">
        <v>6</v>
      </c>
      <c r="D740">
        <f>_xlfn.XLOOKUP(C740, 'Control Panel'!$B$4:$B$8,'Control Panel'!$C$4:$C$8,"0")</f>
        <v>1.25</v>
      </c>
      <c r="E740">
        <f>_xlfn.XLOOKUP(B740, 'Control Panel'!$B$11:$B$17,'Control Panel'!$C$11:$C$17,"0")</f>
        <v>0.95</v>
      </c>
      <c r="G740" s="9" t="str">
        <f>_xlfn.XLOOKUP(F740, 'Control Panel'!$B$20:$B$26,'Control Panel'!$C$20:$C$26,"0")</f>
        <v>0</v>
      </c>
      <c r="H740">
        <v>0</v>
      </c>
      <c r="I740">
        <f t="shared" si="11"/>
        <v>1.1875</v>
      </c>
      <c r="J740">
        <f>MAX(300,SUM('Control Panel'!$B$1*I740))</f>
        <v>356.25</v>
      </c>
    </row>
    <row r="741" spans="1:10" x14ac:dyDescent="0.25">
      <c r="A741" s="5">
        <v>46738</v>
      </c>
      <c r="B741" s="7" t="s">
        <v>8</v>
      </c>
      <c r="C741" s="9" t="s">
        <v>6</v>
      </c>
      <c r="D741">
        <f>_xlfn.XLOOKUP(C741, 'Control Panel'!$B$4:$B$8,'Control Panel'!$C$4:$C$8,"0")</f>
        <v>1.25</v>
      </c>
      <c r="E741">
        <f>_xlfn.XLOOKUP(B741, 'Control Panel'!$B$11:$B$17,'Control Panel'!$C$11:$C$17,"0")</f>
        <v>1.1000000000000001</v>
      </c>
      <c r="G741" s="9" t="str">
        <f>_xlfn.XLOOKUP(F741, 'Control Panel'!$B$20:$B$26,'Control Panel'!$C$20:$C$26,"0")</f>
        <v>0</v>
      </c>
      <c r="H741">
        <v>0</v>
      </c>
      <c r="I741">
        <f t="shared" si="11"/>
        <v>1.375</v>
      </c>
      <c r="J741">
        <f>MAX(300,SUM('Control Panel'!$B$1*I741))</f>
        <v>412.5</v>
      </c>
    </row>
    <row r="742" spans="1:10" x14ac:dyDescent="0.25">
      <c r="A742" s="5">
        <v>46739</v>
      </c>
      <c r="B742" s="7" t="s">
        <v>9</v>
      </c>
      <c r="C742" s="9" t="s">
        <v>6</v>
      </c>
      <c r="D742">
        <f>_xlfn.XLOOKUP(C742, 'Control Panel'!$B$4:$B$8,'Control Panel'!$C$4:$C$8,"0")</f>
        <v>1.25</v>
      </c>
      <c r="E742">
        <f>_xlfn.XLOOKUP(B742, 'Control Panel'!$B$11:$B$17,'Control Panel'!$C$11:$C$17,"0")</f>
        <v>1.25</v>
      </c>
      <c r="G742" s="9" t="str">
        <f>_xlfn.XLOOKUP(F742, 'Control Panel'!$B$20:$B$26,'Control Panel'!$C$20:$C$26,"0")</f>
        <v>0</v>
      </c>
      <c r="H742">
        <v>0</v>
      </c>
      <c r="I742">
        <f t="shared" si="11"/>
        <v>1.5625</v>
      </c>
      <c r="J742">
        <f>MAX(300,SUM('Control Panel'!$B$1*I742))</f>
        <v>468.75</v>
      </c>
    </row>
    <row r="743" spans="1:10" x14ac:dyDescent="0.25">
      <c r="A743" s="5">
        <v>46740</v>
      </c>
      <c r="B743" s="7" t="s">
        <v>10</v>
      </c>
      <c r="C743" s="9" t="s">
        <v>6</v>
      </c>
      <c r="D743">
        <f>_xlfn.XLOOKUP(C743, 'Control Panel'!$B$4:$B$8,'Control Panel'!$C$4:$C$8,"0")</f>
        <v>1.25</v>
      </c>
      <c r="E743">
        <f>_xlfn.XLOOKUP(B743, 'Control Panel'!$B$11:$B$17,'Control Panel'!$C$11:$C$17,"0")</f>
        <v>1.05</v>
      </c>
      <c r="G743" s="9" t="str">
        <f>_xlfn.XLOOKUP(F743, 'Control Panel'!$B$20:$B$26,'Control Panel'!$C$20:$C$26,"0")</f>
        <v>0</v>
      </c>
      <c r="H743">
        <v>0</v>
      </c>
      <c r="I743">
        <f t="shared" si="11"/>
        <v>1.3125</v>
      </c>
      <c r="J743">
        <f>MAX(300,SUM('Control Panel'!$B$1*I743))</f>
        <v>393.75</v>
      </c>
    </row>
    <row r="744" spans="1:10" x14ac:dyDescent="0.25">
      <c r="A744" s="5">
        <v>46741</v>
      </c>
      <c r="B744" s="7" t="s">
        <v>11</v>
      </c>
      <c r="C744" s="9" t="s">
        <v>6</v>
      </c>
      <c r="D744">
        <f>_xlfn.XLOOKUP(C744, 'Control Panel'!$B$4:$B$8,'Control Panel'!$C$4:$C$8,"0")</f>
        <v>1.25</v>
      </c>
      <c r="E744">
        <f>_xlfn.XLOOKUP(B744, 'Control Panel'!$B$11:$B$17,'Control Panel'!$C$11:$C$17,"0")</f>
        <v>0.95</v>
      </c>
      <c r="G744" s="9" t="str">
        <f>_xlfn.XLOOKUP(F744, 'Control Panel'!$B$20:$B$26,'Control Panel'!$C$20:$C$26,"0")</f>
        <v>0</v>
      </c>
      <c r="H744">
        <v>0</v>
      </c>
      <c r="I744">
        <f t="shared" si="11"/>
        <v>1.1875</v>
      </c>
      <c r="J744">
        <f>MAX(300,SUM('Control Panel'!$B$1*I744))</f>
        <v>356.25</v>
      </c>
    </row>
    <row r="745" spans="1:10" x14ac:dyDescent="0.25">
      <c r="A745" s="5">
        <v>46742</v>
      </c>
      <c r="B745" s="7" t="s">
        <v>12</v>
      </c>
      <c r="C745" s="9" t="s">
        <v>6</v>
      </c>
      <c r="D745">
        <f>_xlfn.XLOOKUP(C745, 'Control Panel'!$B$4:$B$8,'Control Panel'!$C$4:$C$8,"0")</f>
        <v>1.25</v>
      </c>
      <c r="E745">
        <f>_xlfn.XLOOKUP(B745, 'Control Panel'!$B$11:$B$17,'Control Panel'!$C$11:$C$17,"0")</f>
        <v>0.95</v>
      </c>
      <c r="G745" s="9" t="str">
        <f>_xlfn.XLOOKUP(F745, 'Control Panel'!$B$20:$B$26,'Control Panel'!$C$20:$C$26,"0")</f>
        <v>0</v>
      </c>
      <c r="H745">
        <v>0</v>
      </c>
      <c r="I745">
        <f t="shared" si="11"/>
        <v>1.1875</v>
      </c>
      <c r="J745">
        <f>MAX(300,SUM('Control Panel'!$B$1*I745))</f>
        <v>356.25</v>
      </c>
    </row>
    <row r="746" spans="1:10" x14ac:dyDescent="0.25">
      <c r="A746" s="5">
        <v>46743</v>
      </c>
      <c r="B746" s="7" t="s">
        <v>13</v>
      </c>
      <c r="C746" s="9" t="s">
        <v>6</v>
      </c>
      <c r="D746">
        <f>_xlfn.XLOOKUP(C746, 'Control Panel'!$B$4:$B$8,'Control Panel'!$C$4:$C$8,"0")</f>
        <v>1.25</v>
      </c>
      <c r="E746">
        <f>_xlfn.XLOOKUP(B746, 'Control Panel'!$B$11:$B$17,'Control Panel'!$C$11:$C$17,"0")</f>
        <v>0.95</v>
      </c>
      <c r="G746" s="9" t="str">
        <f>_xlfn.XLOOKUP(F746, 'Control Panel'!$B$20:$B$26,'Control Panel'!$C$20:$C$26,"0")</f>
        <v>0</v>
      </c>
      <c r="H746">
        <v>0</v>
      </c>
      <c r="I746">
        <f t="shared" si="11"/>
        <v>1.1875</v>
      </c>
      <c r="J746">
        <f>MAX(300,SUM('Control Panel'!$B$1*I746))</f>
        <v>356.25</v>
      </c>
    </row>
    <row r="747" spans="1:10" x14ac:dyDescent="0.25">
      <c r="A747" s="5">
        <v>46744</v>
      </c>
      <c r="B747" s="7" t="s">
        <v>5</v>
      </c>
      <c r="C747" s="9" t="s">
        <v>6</v>
      </c>
      <c r="D747">
        <f>_xlfn.XLOOKUP(C747, 'Control Panel'!$B$4:$B$8,'Control Panel'!$C$4:$C$8,"0")</f>
        <v>1.25</v>
      </c>
      <c r="E747">
        <f>_xlfn.XLOOKUP(B747, 'Control Panel'!$B$11:$B$17,'Control Panel'!$C$11:$C$17,"0")</f>
        <v>0.95</v>
      </c>
      <c r="G747" s="9" t="str">
        <f>_xlfn.XLOOKUP(F747, 'Control Panel'!$B$20:$B$26,'Control Panel'!$C$20:$C$26,"0")</f>
        <v>0</v>
      </c>
      <c r="H747">
        <v>0</v>
      </c>
      <c r="I747">
        <f t="shared" si="11"/>
        <v>1.1875</v>
      </c>
      <c r="J747">
        <f>MAX(300,SUM('Control Panel'!$B$1*I747))</f>
        <v>356.25</v>
      </c>
    </row>
    <row r="748" spans="1:10" x14ac:dyDescent="0.25">
      <c r="A748" s="5">
        <v>46745</v>
      </c>
      <c r="B748" s="7" t="s">
        <v>8</v>
      </c>
      <c r="C748" s="9" t="s">
        <v>6</v>
      </c>
      <c r="D748">
        <f>_xlfn.XLOOKUP(C748, 'Control Panel'!$B$4:$B$8,'Control Panel'!$C$4:$C$8,"0")</f>
        <v>1.25</v>
      </c>
      <c r="E748">
        <f>_xlfn.XLOOKUP(B748, 'Control Panel'!$B$11:$B$17,'Control Panel'!$C$11:$C$17,"0")</f>
        <v>1.1000000000000001</v>
      </c>
      <c r="G748" s="9" t="str">
        <f>_xlfn.XLOOKUP(F748, 'Control Panel'!$B$20:$B$26,'Control Panel'!$C$20:$C$26,"0")</f>
        <v>0</v>
      </c>
      <c r="H748">
        <v>0</v>
      </c>
      <c r="I748">
        <f t="shared" si="11"/>
        <v>1.375</v>
      </c>
      <c r="J748">
        <f>MAX(300,SUM('Control Panel'!$B$1*I748))</f>
        <v>412.5</v>
      </c>
    </row>
    <row r="749" spans="1:10" x14ac:dyDescent="0.25">
      <c r="A749" s="5">
        <v>46746</v>
      </c>
      <c r="B749" s="7" t="s">
        <v>9</v>
      </c>
      <c r="C749" s="9" t="s">
        <v>6</v>
      </c>
      <c r="D749">
        <f>_xlfn.XLOOKUP(C749, 'Control Panel'!$B$4:$B$8,'Control Panel'!$C$4:$C$8,"0")</f>
        <v>1.25</v>
      </c>
      <c r="E749">
        <f>_xlfn.XLOOKUP(B749, 'Control Panel'!$B$11:$B$17,'Control Panel'!$C$11:$C$17,"0")</f>
        <v>1.25</v>
      </c>
      <c r="F749" t="s">
        <v>23</v>
      </c>
      <c r="G749" s="9">
        <f>_xlfn.XLOOKUP(F749, 'Control Panel'!$B$20:$B$26,'Control Panel'!$C$20:$C$26,"0")</f>
        <v>0.6</v>
      </c>
      <c r="H749">
        <v>0</v>
      </c>
      <c r="I749">
        <f t="shared" si="11"/>
        <v>2.1625000000000001</v>
      </c>
      <c r="J749">
        <f>MAX(300,SUM('Control Panel'!$B$1*I749))</f>
        <v>648.75</v>
      </c>
    </row>
    <row r="750" spans="1:10" x14ac:dyDescent="0.25">
      <c r="A750" s="5">
        <v>46747</v>
      </c>
      <c r="B750" s="7" t="s">
        <v>10</v>
      </c>
      <c r="C750" s="9" t="s">
        <v>6</v>
      </c>
      <c r="D750">
        <f>_xlfn.XLOOKUP(C750, 'Control Panel'!$B$4:$B$8,'Control Panel'!$C$4:$C$8,"0")</f>
        <v>1.25</v>
      </c>
      <c r="E750">
        <f>_xlfn.XLOOKUP(B750, 'Control Panel'!$B$11:$B$17,'Control Panel'!$C$11:$C$17,"0")</f>
        <v>1.05</v>
      </c>
      <c r="G750" s="9" t="str">
        <f>_xlfn.XLOOKUP(F750, 'Control Panel'!$B$20:$B$26,'Control Panel'!$C$20:$C$26,"0")</f>
        <v>0</v>
      </c>
      <c r="H750">
        <v>0</v>
      </c>
      <c r="I750">
        <f t="shared" si="11"/>
        <v>1.3125</v>
      </c>
      <c r="J750">
        <f>MAX(300,SUM('Control Panel'!$B$1*I750))</f>
        <v>393.75</v>
      </c>
    </row>
    <row r="751" spans="1:10" x14ac:dyDescent="0.25">
      <c r="A751" s="5">
        <v>46748</v>
      </c>
      <c r="B751" s="7" t="s">
        <v>11</v>
      </c>
      <c r="C751" s="9" t="s">
        <v>6</v>
      </c>
      <c r="D751">
        <f>_xlfn.XLOOKUP(C751, 'Control Panel'!$B$4:$B$8,'Control Panel'!$C$4:$C$8,"0")</f>
        <v>1.25</v>
      </c>
      <c r="E751">
        <f>_xlfn.XLOOKUP(B751, 'Control Panel'!$B$11:$B$17,'Control Panel'!$C$11:$C$17,"0")</f>
        <v>0.95</v>
      </c>
      <c r="G751" s="9" t="str">
        <f>_xlfn.XLOOKUP(F751, 'Control Panel'!$B$20:$B$26,'Control Panel'!$C$20:$C$26,"0")</f>
        <v>0</v>
      </c>
      <c r="H751">
        <v>0</v>
      </c>
      <c r="I751">
        <f t="shared" si="11"/>
        <v>1.1875</v>
      </c>
      <c r="J751">
        <f>MAX(300,SUM('Control Panel'!$B$1*I751))</f>
        <v>356.25</v>
      </c>
    </row>
    <row r="752" spans="1:10" x14ac:dyDescent="0.25">
      <c r="A752" s="5">
        <v>46749</v>
      </c>
      <c r="B752" s="7" t="s">
        <v>12</v>
      </c>
      <c r="C752" s="9" t="s">
        <v>6</v>
      </c>
      <c r="D752">
        <f>_xlfn.XLOOKUP(C752, 'Control Panel'!$B$4:$B$8,'Control Panel'!$C$4:$C$8,"0")</f>
        <v>1.25</v>
      </c>
      <c r="E752">
        <f>_xlfn.XLOOKUP(B752, 'Control Panel'!$B$11:$B$17,'Control Panel'!$C$11:$C$17,"0")</f>
        <v>0.95</v>
      </c>
      <c r="G752" s="9" t="str">
        <f>_xlfn.XLOOKUP(F752, 'Control Panel'!$B$20:$B$26,'Control Panel'!$C$20:$C$26,"0")</f>
        <v>0</v>
      </c>
      <c r="H752">
        <v>0</v>
      </c>
      <c r="I752">
        <f t="shared" si="11"/>
        <v>1.1875</v>
      </c>
      <c r="J752">
        <f>MAX(300,SUM('Control Panel'!$B$1*I752))</f>
        <v>356.25</v>
      </c>
    </row>
    <row r="753" spans="1:10" x14ac:dyDescent="0.25">
      <c r="A753" s="5">
        <v>46750</v>
      </c>
      <c r="B753" s="7" t="s">
        <v>13</v>
      </c>
      <c r="C753" s="9" t="s">
        <v>6</v>
      </c>
      <c r="D753">
        <f>_xlfn.XLOOKUP(C753, 'Control Panel'!$B$4:$B$8,'Control Panel'!$C$4:$C$8,"0")</f>
        <v>1.25</v>
      </c>
      <c r="E753">
        <f>_xlfn.XLOOKUP(B753, 'Control Panel'!$B$11:$B$17,'Control Panel'!$C$11:$C$17,"0")</f>
        <v>0.95</v>
      </c>
      <c r="G753" s="9" t="str">
        <f>_xlfn.XLOOKUP(F753, 'Control Panel'!$B$20:$B$26,'Control Panel'!$C$20:$C$26,"0")</f>
        <v>0</v>
      </c>
      <c r="H753">
        <v>0</v>
      </c>
      <c r="I753">
        <f t="shared" si="11"/>
        <v>1.1875</v>
      </c>
      <c r="J753">
        <f>MAX(300,SUM('Control Panel'!$B$1*I753))</f>
        <v>356.25</v>
      </c>
    </row>
    <row r="754" spans="1:10" x14ac:dyDescent="0.25">
      <c r="A754" s="5">
        <v>46751</v>
      </c>
      <c r="B754" s="7" t="s">
        <v>5</v>
      </c>
      <c r="C754" s="9" t="s">
        <v>6</v>
      </c>
      <c r="D754">
        <f>_xlfn.XLOOKUP(C754, 'Control Panel'!$B$4:$B$8,'Control Panel'!$C$4:$C$8,"0")</f>
        <v>1.25</v>
      </c>
      <c r="E754">
        <f>_xlfn.XLOOKUP(B754, 'Control Panel'!$B$11:$B$17,'Control Panel'!$C$11:$C$17,"0")</f>
        <v>0.95</v>
      </c>
      <c r="G754" s="9" t="str">
        <f>_xlfn.XLOOKUP(F754, 'Control Panel'!$B$20:$B$26,'Control Panel'!$C$20:$C$26,"0")</f>
        <v>0</v>
      </c>
      <c r="H754">
        <v>0</v>
      </c>
      <c r="I754">
        <f t="shared" si="11"/>
        <v>1.1875</v>
      </c>
      <c r="J754">
        <f>MAX(300,SUM('Control Panel'!$B$1*I754))</f>
        <v>356.25</v>
      </c>
    </row>
    <row r="755" spans="1:10" x14ac:dyDescent="0.25">
      <c r="A755" s="5">
        <v>46752</v>
      </c>
      <c r="B755" s="7" t="s">
        <v>8</v>
      </c>
      <c r="C755" s="9" t="s">
        <v>6</v>
      </c>
      <c r="D755">
        <f>_xlfn.XLOOKUP(C755, 'Control Panel'!$B$4:$B$8,'Control Panel'!$C$4:$C$8,"0")</f>
        <v>1.25</v>
      </c>
      <c r="E755">
        <f>_xlfn.XLOOKUP(B755, 'Control Panel'!$B$11:$B$17,'Control Panel'!$C$11:$C$17,"0")</f>
        <v>1.1000000000000001</v>
      </c>
      <c r="G755" s="9" t="str">
        <f>_xlfn.XLOOKUP(F755, 'Control Panel'!$B$20:$B$26,'Control Panel'!$C$20:$C$26,"0")</f>
        <v>0</v>
      </c>
      <c r="H755">
        <v>0</v>
      </c>
      <c r="I755">
        <f t="shared" si="11"/>
        <v>1.375</v>
      </c>
      <c r="J755">
        <f>MAX(300,SUM('Control Panel'!$B$1*I755))</f>
        <v>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Control Panel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Castonguay</cp:lastModifiedBy>
  <dcterms:created xsi:type="dcterms:W3CDTF">2026-05-01T17:14:11Z</dcterms:created>
  <dcterms:modified xsi:type="dcterms:W3CDTF">2026-05-01T22:46:39Z</dcterms:modified>
</cp:coreProperties>
</file>